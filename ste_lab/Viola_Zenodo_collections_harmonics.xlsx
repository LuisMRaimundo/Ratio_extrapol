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drawings/drawing5.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drawings/drawing6.xml" ContentType="application/vnd.openxmlformats-officedocument.drawing+xml"/>
  <Override PartName="/xl/tables/table3.xml" ContentType="application/vnd.openxmlformats-officedocument.spreadsheetml.table+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RDAS_2\"/>
    </mc:Choice>
  </mc:AlternateContent>
  <xr:revisionPtr revIDLastSave="0" documentId="13_ncr:1_{22255E49-6D43-4CEE-851D-C1146F0385E3}" xr6:coauthVersionLast="47" xr6:coauthVersionMax="47" xr10:uidLastSave="{00000000-0000-0000-0000-000000000000}"/>
  <bookViews>
    <workbookView xWindow="-120" yWindow="-120" windowWidth="29040" windowHeight="18240" tabRatio="868" firstSheet="1" activeTab="7" xr2:uid="{00000000-000D-0000-FFFF-FFFF00000000}"/>
  </bookViews>
  <sheets>
    <sheet name="Claude Log" sheetId="1" r:id="rId1"/>
    <sheet name="VIOLA_IOWA_pp" sheetId="2" r:id="rId2"/>
    <sheet name="VIOLA__IOWA_mf" sheetId="3" r:id="rId3"/>
    <sheet name="VIOLA_IOWA_ff" sheetId="4" r:id="rId4"/>
    <sheet name="VIOLA__ORCH_pp" sheetId="5" r:id="rId5"/>
    <sheet name="VIOLA__ORCH_mf" sheetId="6" r:id="rId6"/>
    <sheet name="VIOLA__ORCH_ff" sheetId="7" r:id="rId7"/>
    <sheet name="VIOLA_Media" sheetId="8" r:id="rId8"/>
    <sheet name="README" sheetId="9" r:id="rId9"/>
    <sheet name="Zenodo_File_metadata" sheetId="10" r:id="rId10"/>
    <sheet name="Controlled Vocabulary" sheetId="11" r:id="rId11"/>
    <sheet name="WorkbookMeta" sheetId="12" r:id="rId12"/>
    <sheet name="Registry" sheetId="13" r:id="rId13"/>
    <sheet name="AcousticTable" sheetId="14" r:id="rId14"/>
    <sheet name="Provenance" sheetId="15" r:id="rId15"/>
    <sheet name="Aliases"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8" l="1"/>
  <c r="M3" i="8"/>
  <c r="N3" i="8"/>
  <c r="O3" i="8"/>
  <c r="P3" i="8"/>
  <c r="Q3" i="8"/>
  <c r="R3" i="8"/>
  <c r="S3" i="8"/>
  <c r="T3" i="8"/>
  <c r="U3" i="8"/>
  <c r="V3" i="8"/>
  <c r="W3" i="8"/>
  <c r="X3" i="8"/>
  <c r="Y3" i="8"/>
  <c r="Z3" i="8"/>
  <c r="AA3" i="8"/>
  <c r="L4" i="8"/>
  <c r="M4" i="8"/>
  <c r="N4" i="8"/>
  <c r="V4" i="8" s="1"/>
  <c r="O4" i="8"/>
  <c r="X4" i="8" s="1"/>
  <c r="P4" i="8"/>
  <c r="Q4" i="8"/>
  <c r="R4" i="8"/>
  <c r="S4" i="8"/>
  <c r="T4" i="8"/>
  <c r="U4" i="8"/>
  <c r="W4" i="8"/>
  <c r="Y4" i="8"/>
  <c r="Z4" i="8"/>
  <c r="AA4" i="8"/>
  <c r="L5" i="8"/>
  <c r="M5" i="8"/>
  <c r="N5" i="8"/>
  <c r="V5" i="8" s="1"/>
  <c r="O5" i="8"/>
  <c r="W5" i="8" s="1"/>
  <c r="P5" i="8"/>
  <c r="Q5" i="8"/>
  <c r="R5" i="8"/>
  <c r="S5" i="8"/>
  <c r="T5" i="8"/>
  <c r="U5" i="8"/>
  <c r="Y5" i="8"/>
  <c r="Z5" i="8"/>
  <c r="AA5" i="8"/>
  <c r="L6" i="8"/>
  <c r="M6" i="8"/>
  <c r="N6" i="8"/>
  <c r="O6" i="8"/>
  <c r="P6" i="8"/>
  <c r="Q6" i="8"/>
  <c r="R6" i="8"/>
  <c r="S6" i="8"/>
  <c r="T6" i="8"/>
  <c r="U6" i="8"/>
  <c r="V6" i="8"/>
  <c r="W6" i="8"/>
  <c r="X6" i="8"/>
  <c r="Y6" i="8"/>
  <c r="Z6" i="8"/>
  <c r="AA6" i="8"/>
  <c r="L7" i="8"/>
  <c r="M7" i="8"/>
  <c r="N7" i="8"/>
  <c r="V7" i="8" s="1"/>
  <c r="O7" i="8"/>
  <c r="X7" i="8" s="1"/>
  <c r="P7" i="8"/>
  <c r="Q7" i="8"/>
  <c r="R7" i="8"/>
  <c r="S7" i="8"/>
  <c r="T7" i="8"/>
  <c r="U7" i="8"/>
  <c r="W7" i="8"/>
  <c r="Y7" i="8"/>
  <c r="Z7" i="8"/>
  <c r="AA7" i="8"/>
  <c r="L8" i="8"/>
  <c r="M8" i="8"/>
  <c r="N8" i="8"/>
  <c r="V8" i="8" s="1"/>
  <c r="O8" i="8"/>
  <c r="W8" i="8" s="1"/>
  <c r="P8" i="8"/>
  <c r="Q8" i="8"/>
  <c r="R8" i="8"/>
  <c r="S8" i="8"/>
  <c r="T8" i="8"/>
  <c r="U8" i="8"/>
  <c r="Y8" i="8"/>
  <c r="Z8" i="8"/>
  <c r="AA8" i="8"/>
  <c r="L9" i="8"/>
  <c r="M9" i="8"/>
  <c r="N9" i="8"/>
  <c r="O9" i="8"/>
  <c r="P9" i="8"/>
  <c r="Q9" i="8"/>
  <c r="R9" i="8"/>
  <c r="S9" i="8"/>
  <c r="T9" i="8"/>
  <c r="U9" i="8"/>
  <c r="V9" i="8"/>
  <c r="W9" i="8"/>
  <c r="X9" i="8"/>
  <c r="Y9" i="8"/>
  <c r="Z9" i="8"/>
  <c r="AA9" i="8"/>
  <c r="L10" i="8"/>
  <c r="M10" i="8"/>
  <c r="N10" i="8"/>
  <c r="V10" i="8" s="1"/>
  <c r="O10" i="8"/>
  <c r="X10" i="8" s="1"/>
  <c r="P10" i="8"/>
  <c r="Q10" i="8"/>
  <c r="R10" i="8"/>
  <c r="S10" i="8"/>
  <c r="T10" i="8"/>
  <c r="U10" i="8"/>
  <c r="W10" i="8"/>
  <c r="Y10" i="8"/>
  <c r="Z10" i="8"/>
  <c r="AA10" i="8"/>
  <c r="L11" i="8"/>
  <c r="M11" i="8"/>
  <c r="N11" i="8"/>
  <c r="V11" i="8" s="1"/>
  <c r="O11" i="8"/>
  <c r="W11" i="8" s="1"/>
  <c r="P11" i="8"/>
  <c r="Q11" i="8"/>
  <c r="R11" i="8"/>
  <c r="S11" i="8"/>
  <c r="T11" i="8"/>
  <c r="U11" i="8"/>
  <c r="Y11" i="8"/>
  <c r="Z11" i="8"/>
  <c r="AA11" i="8"/>
  <c r="L12" i="8"/>
  <c r="M12" i="8"/>
  <c r="N12" i="8"/>
  <c r="O12" i="8"/>
  <c r="P12" i="8"/>
  <c r="Q12" i="8"/>
  <c r="R12" i="8"/>
  <c r="S12" i="8"/>
  <c r="T12" i="8"/>
  <c r="U12" i="8"/>
  <c r="V12" i="8"/>
  <c r="W12" i="8"/>
  <c r="X12" i="8"/>
  <c r="Y12" i="8"/>
  <c r="Z12" i="8"/>
  <c r="AA12" i="8"/>
  <c r="L13" i="8"/>
  <c r="M13" i="8"/>
  <c r="N13" i="8"/>
  <c r="V13" i="8" s="1"/>
  <c r="O13" i="8"/>
  <c r="X13" i="8" s="1"/>
  <c r="P13" i="8"/>
  <c r="Q13" i="8"/>
  <c r="R13" i="8"/>
  <c r="S13" i="8"/>
  <c r="T13" i="8"/>
  <c r="U13" i="8"/>
  <c r="W13" i="8"/>
  <c r="Y13" i="8"/>
  <c r="Z13" i="8"/>
  <c r="AA13" i="8"/>
  <c r="L14" i="8"/>
  <c r="M14" i="8"/>
  <c r="N14" i="8"/>
  <c r="V14" i="8" s="1"/>
  <c r="O14" i="8"/>
  <c r="W14" i="8" s="1"/>
  <c r="P14" i="8"/>
  <c r="Q14" i="8"/>
  <c r="R14" i="8"/>
  <c r="S14" i="8"/>
  <c r="T14" i="8"/>
  <c r="U14" i="8"/>
  <c r="Y14" i="8"/>
  <c r="Z14" i="8"/>
  <c r="AA14" i="8"/>
  <c r="L15" i="8"/>
  <c r="M15" i="8"/>
  <c r="N15" i="8"/>
  <c r="O15" i="8"/>
  <c r="P15" i="8"/>
  <c r="Q15" i="8"/>
  <c r="R15" i="8"/>
  <c r="S15" i="8"/>
  <c r="T15" i="8"/>
  <c r="U15" i="8"/>
  <c r="V15" i="8"/>
  <c r="W15" i="8"/>
  <c r="X15" i="8"/>
  <c r="Y15" i="8"/>
  <c r="Z15" i="8"/>
  <c r="AA15" i="8"/>
  <c r="L16" i="8"/>
  <c r="M16" i="8"/>
  <c r="N16" i="8"/>
  <c r="V16" i="8" s="1"/>
  <c r="O16" i="8"/>
  <c r="X16" i="8" s="1"/>
  <c r="P16" i="8"/>
  <c r="Q16" i="8"/>
  <c r="R16" i="8"/>
  <c r="S16" i="8"/>
  <c r="T16" i="8"/>
  <c r="U16" i="8"/>
  <c r="W16" i="8"/>
  <c r="Y16" i="8"/>
  <c r="Z16" i="8"/>
  <c r="AA16" i="8"/>
  <c r="L17" i="8"/>
  <c r="M17" i="8"/>
  <c r="N17" i="8"/>
  <c r="V17" i="8" s="1"/>
  <c r="O17" i="8"/>
  <c r="W17" i="8" s="1"/>
  <c r="P17" i="8"/>
  <c r="Q17" i="8"/>
  <c r="R17" i="8"/>
  <c r="S17" i="8"/>
  <c r="T17" i="8"/>
  <c r="U17" i="8"/>
  <c r="Y17" i="8"/>
  <c r="Z17" i="8"/>
  <c r="AA17" i="8"/>
  <c r="L18" i="8"/>
  <c r="M18" i="8"/>
  <c r="N18" i="8"/>
  <c r="O18" i="8"/>
  <c r="X18" i="8" s="1"/>
  <c r="P18" i="8"/>
  <c r="Q18" i="8"/>
  <c r="R18" i="8"/>
  <c r="S18" i="8"/>
  <c r="T18" i="8"/>
  <c r="U18" i="8"/>
  <c r="V18" i="8"/>
  <c r="W18" i="8"/>
  <c r="Y18" i="8"/>
  <c r="Z18" i="8"/>
  <c r="AA18" i="8"/>
  <c r="L19" i="8"/>
  <c r="M19" i="8"/>
  <c r="N19" i="8"/>
  <c r="V19" i="8" s="1"/>
  <c r="O19" i="8"/>
  <c r="X19" i="8" s="1"/>
  <c r="P19" i="8"/>
  <c r="Q19" i="8"/>
  <c r="R19" i="8"/>
  <c r="S19" i="8"/>
  <c r="T19" i="8"/>
  <c r="U19" i="8"/>
  <c r="W19" i="8"/>
  <c r="Y19" i="8"/>
  <c r="Z19" i="8"/>
  <c r="AA19" i="8"/>
  <c r="L20" i="8"/>
  <c r="M20" i="8"/>
  <c r="N20" i="8"/>
  <c r="V20" i="8" s="1"/>
  <c r="O20" i="8"/>
  <c r="W20" i="8" s="1"/>
  <c r="P20" i="8"/>
  <c r="Q20" i="8"/>
  <c r="R20" i="8"/>
  <c r="S20" i="8"/>
  <c r="T20" i="8"/>
  <c r="U20" i="8"/>
  <c r="Y20" i="8"/>
  <c r="Z20" i="8"/>
  <c r="AA20" i="8"/>
  <c r="L21" i="8"/>
  <c r="M21" i="8"/>
  <c r="N21" i="8"/>
  <c r="O21" i="8"/>
  <c r="P21" i="8"/>
  <c r="Q21" i="8"/>
  <c r="R21" i="8"/>
  <c r="S21" i="8"/>
  <c r="T21" i="8"/>
  <c r="U21" i="8"/>
  <c r="V21" i="8"/>
  <c r="W21" i="8"/>
  <c r="X21" i="8"/>
  <c r="Y21" i="8"/>
  <c r="Z21" i="8"/>
  <c r="AA21" i="8"/>
  <c r="L22" i="8"/>
  <c r="M22" i="8"/>
  <c r="N22" i="8"/>
  <c r="V22" i="8" s="1"/>
  <c r="O22" i="8"/>
  <c r="X22" i="8" s="1"/>
  <c r="P22" i="8"/>
  <c r="Q22" i="8"/>
  <c r="R22" i="8"/>
  <c r="S22" i="8"/>
  <c r="T22" i="8"/>
  <c r="U22" i="8"/>
  <c r="W22" i="8"/>
  <c r="Y22" i="8"/>
  <c r="Z22" i="8"/>
  <c r="AA22" i="8"/>
  <c r="L23" i="8"/>
  <c r="M23" i="8"/>
  <c r="N23" i="8"/>
  <c r="V23" i="8" s="1"/>
  <c r="O23" i="8"/>
  <c r="W23" i="8" s="1"/>
  <c r="P23" i="8"/>
  <c r="Q23" i="8"/>
  <c r="R23" i="8"/>
  <c r="S23" i="8"/>
  <c r="T23" i="8"/>
  <c r="U23" i="8"/>
  <c r="Y23" i="8"/>
  <c r="Z23" i="8"/>
  <c r="AA23" i="8"/>
  <c r="L24" i="8"/>
  <c r="M24" i="8"/>
  <c r="N24" i="8"/>
  <c r="O24" i="8"/>
  <c r="X24" i="8" s="1"/>
  <c r="P24" i="8"/>
  <c r="Q24" i="8"/>
  <c r="R24" i="8"/>
  <c r="S24" i="8"/>
  <c r="T24" i="8"/>
  <c r="U24" i="8"/>
  <c r="V24" i="8"/>
  <c r="W24" i="8"/>
  <c r="Y24" i="8"/>
  <c r="Z24" i="8"/>
  <c r="AA24" i="8"/>
  <c r="L25" i="8"/>
  <c r="M25" i="8"/>
  <c r="N25" i="8"/>
  <c r="V25" i="8" s="1"/>
  <c r="O25" i="8"/>
  <c r="X25" i="8" s="1"/>
  <c r="P25" i="8"/>
  <c r="Q25" i="8"/>
  <c r="R25" i="8"/>
  <c r="S25" i="8"/>
  <c r="T25" i="8"/>
  <c r="U25" i="8"/>
  <c r="W25" i="8"/>
  <c r="Y25" i="8"/>
  <c r="Z25" i="8"/>
  <c r="AA25" i="8"/>
  <c r="L26" i="8"/>
  <c r="M26" i="8"/>
  <c r="N26" i="8"/>
  <c r="V26" i="8" s="1"/>
  <c r="O26" i="8"/>
  <c r="W26" i="8" s="1"/>
  <c r="P26" i="8"/>
  <c r="Q26" i="8"/>
  <c r="R26" i="8"/>
  <c r="S26" i="8"/>
  <c r="T26" i="8"/>
  <c r="U26" i="8"/>
  <c r="Y26" i="8"/>
  <c r="Z26" i="8"/>
  <c r="AA26" i="8"/>
  <c r="L27" i="8"/>
  <c r="M27" i="8"/>
  <c r="N27" i="8"/>
  <c r="O27" i="8"/>
  <c r="P27" i="8"/>
  <c r="Q27" i="8"/>
  <c r="R27" i="8"/>
  <c r="S27" i="8"/>
  <c r="T27" i="8"/>
  <c r="U27" i="8"/>
  <c r="V27" i="8"/>
  <c r="W27" i="8"/>
  <c r="X27" i="8"/>
  <c r="Y27" i="8"/>
  <c r="Z27" i="8"/>
  <c r="AA27" i="8"/>
  <c r="L28" i="8"/>
  <c r="M28" i="8"/>
  <c r="N28" i="8"/>
  <c r="V28" i="8" s="1"/>
  <c r="O28" i="8"/>
  <c r="X28" i="8" s="1"/>
  <c r="P28" i="8"/>
  <c r="Q28" i="8"/>
  <c r="R28" i="8"/>
  <c r="S28" i="8"/>
  <c r="T28" i="8"/>
  <c r="U28" i="8"/>
  <c r="W28" i="8"/>
  <c r="Y28" i="8"/>
  <c r="Z28" i="8"/>
  <c r="AA28" i="8"/>
  <c r="L29" i="8"/>
  <c r="M29" i="8"/>
  <c r="N29" i="8"/>
  <c r="V29" i="8" s="1"/>
  <c r="O29" i="8"/>
  <c r="W29" i="8" s="1"/>
  <c r="P29" i="8"/>
  <c r="Q29" i="8"/>
  <c r="R29" i="8"/>
  <c r="S29" i="8"/>
  <c r="T29" i="8"/>
  <c r="U29" i="8"/>
  <c r="Y29" i="8"/>
  <c r="Z29" i="8"/>
  <c r="AA29" i="8"/>
  <c r="L30" i="8"/>
  <c r="M30" i="8"/>
  <c r="N30" i="8"/>
  <c r="O30" i="8"/>
  <c r="P30" i="8"/>
  <c r="Q30" i="8"/>
  <c r="R30" i="8"/>
  <c r="S30" i="8"/>
  <c r="T30" i="8"/>
  <c r="U30" i="8"/>
  <c r="V30" i="8"/>
  <c r="W30" i="8"/>
  <c r="X30" i="8"/>
  <c r="Y30" i="8"/>
  <c r="Z30" i="8"/>
  <c r="AA30" i="8"/>
  <c r="L31" i="8"/>
  <c r="M31" i="8"/>
  <c r="N31" i="8"/>
  <c r="V31" i="8" s="1"/>
  <c r="O31" i="8"/>
  <c r="X31" i="8" s="1"/>
  <c r="P31" i="8"/>
  <c r="Q31" i="8"/>
  <c r="R31" i="8"/>
  <c r="S31" i="8"/>
  <c r="T31" i="8"/>
  <c r="U31" i="8"/>
  <c r="W31" i="8"/>
  <c r="Y31" i="8"/>
  <c r="Z31" i="8"/>
  <c r="AA31" i="8"/>
  <c r="L32" i="8"/>
  <c r="M32" i="8"/>
  <c r="N32" i="8"/>
  <c r="V32" i="8" s="1"/>
  <c r="O32" i="8"/>
  <c r="X32" i="8" s="1"/>
  <c r="P32" i="8"/>
  <c r="Q32" i="8"/>
  <c r="R32" i="8"/>
  <c r="S32" i="8"/>
  <c r="T32" i="8"/>
  <c r="U32" i="8"/>
  <c r="Y32" i="8"/>
  <c r="Z32" i="8"/>
  <c r="AA32" i="8"/>
  <c r="L33" i="8"/>
  <c r="M33" i="8"/>
  <c r="N33" i="8"/>
  <c r="O33" i="8"/>
  <c r="P33" i="8"/>
  <c r="Q33" i="8"/>
  <c r="R33" i="8"/>
  <c r="S33" i="8"/>
  <c r="T33" i="8"/>
  <c r="U33" i="8"/>
  <c r="V33" i="8"/>
  <c r="W33" i="8"/>
  <c r="X33" i="8"/>
  <c r="Y33" i="8"/>
  <c r="Z33" i="8"/>
  <c r="AA33" i="8"/>
  <c r="L34" i="8"/>
  <c r="M34" i="8"/>
  <c r="N34" i="8"/>
  <c r="V34" i="8" s="1"/>
  <c r="O34" i="8"/>
  <c r="X34" i="8" s="1"/>
  <c r="P34" i="8"/>
  <c r="Q34" i="8"/>
  <c r="R34" i="8"/>
  <c r="S34" i="8"/>
  <c r="T34" i="8"/>
  <c r="U34" i="8"/>
  <c r="W34" i="8"/>
  <c r="Y34" i="8"/>
  <c r="Z34" i="8"/>
  <c r="AA34" i="8"/>
  <c r="L35" i="8"/>
  <c r="M35" i="8"/>
  <c r="N35" i="8"/>
  <c r="V35" i="8" s="1"/>
  <c r="O35" i="8"/>
  <c r="X35" i="8" s="1"/>
  <c r="P35" i="8"/>
  <c r="Q35" i="8"/>
  <c r="R35" i="8"/>
  <c r="S35" i="8"/>
  <c r="T35" i="8"/>
  <c r="U35" i="8"/>
  <c r="Y35" i="8"/>
  <c r="Z35" i="8"/>
  <c r="AA35" i="8"/>
  <c r="L36" i="8"/>
  <c r="M36" i="8"/>
  <c r="N36" i="8"/>
  <c r="O36" i="8"/>
  <c r="P36" i="8"/>
  <c r="Q36" i="8"/>
  <c r="R36" i="8"/>
  <c r="S36" i="8"/>
  <c r="T36" i="8"/>
  <c r="U36" i="8"/>
  <c r="V36" i="8"/>
  <c r="W36" i="8"/>
  <c r="X36" i="8"/>
  <c r="Y36" i="8"/>
  <c r="Z36" i="8"/>
  <c r="AA36" i="8"/>
  <c r="L37" i="8"/>
  <c r="M37" i="8"/>
  <c r="N37" i="8"/>
  <c r="V37" i="8" s="1"/>
  <c r="O37" i="8"/>
  <c r="X37" i="8" s="1"/>
  <c r="P37" i="8"/>
  <c r="Q37" i="8"/>
  <c r="R37" i="8"/>
  <c r="S37" i="8"/>
  <c r="T37" i="8"/>
  <c r="U37" i="8"/>
  <c r="W37" i="8"/>
  <c r="Y37" i="8"/>
  <c r="Z37" i="8"/>
  <c r="AA37" i="8"/>
  <c r="H3" i="8"/>
  <c r="I3" i="8"/>
  <c r="J3" i="8"/>
  <c r="H4" i="8"/>
  <c r="I4" i="8"/>
  <c r="J4" i="8"/>
  <c r="H5" i="8"/>
  <c r="I5" i="8"/>
  <c r="J5" i="8"/>
  <c r="H6" i="8"/>
  <c r="I6" i="8"/>
  <c r="J6" i="8"/>
  <c r="H7" i="8"/>
  <c r="I7" i="8"/>
  <c r="J7" i="8"/>
  <c r="H8" i="8"/>
  <c r="I8" i="8"/>
  <c r="J8" i="8"/>
  <c r="H9" i="8"/>
  <c r="I9" i="8"/>
  <c r="J9" i="8"/>
  <c r="H10" i="8"/>
  <c r="I10" i="8"/>
  <c r="J10" i="8"/>
  <c r="H11" i="8"/>
  <c r="I11" i="8"/>
  <c r="J11" i="8"/>
  <c r="H12" i="8"/>
  <c r="I12" i="8"/>
  <c r="J12" i="8"/>
  <c r="H13" i="8"/>
  <c r="I13" i="8"/>
  <c r="J13" i="8"/>
  <c r="H14" i="8"/>
  <c r="I14" i="8"/>
  <c r="J14" i="8"/>
  <c r="H15" i="8"/>
  <c r="I15" i="8"/>
  <c r="J15" i="8"/>
  <c r="H16" i="8"/>
  <c r="I16" i="8"/>
  <c r="J16" i="8"/>
  <c r="H17" i="8"/>
  <c r="I17" i="8"/>
  <c r="J17" i="8"/>
  <c r="H18" i="8"/>
  <c r="I18" i="8"/>
  <c r="J18" i="8"/>
  <c r="H19" i="8"/>
  <c r="I19" i="8"/>
  <c r="J19" i="8"/>
  <c r="H20" i="8"/>
  <c r="I20" i="8"/>
  <c r="J20" i="8"/>
  <c r="H21" i="8"/>
  <c r="I21" i="8"/>
  <c r="J21" i="8"/>
  <c r="H22" i="8"/>
  <c r="I22" i="8"/>
  <c r="J22" i="8"/>
  <c r="H23" i="8"/>
  <c r="I23" i="8"/>
  <c r="J23" i="8"/>
  <c r="H24" i="8"/>
  <c r="I24" i="8"/>
  <c r="J24" i="8"/>
  <c r="H25" i="8"/>
  <c r="I25" i="8"/>
  <c r="J25" i="8"/>
  <c r="H26" i="8"/>
  <c r="I26" i="8"/>
  <c r="J26" i="8"/>
  <c r="H27" i="8"/>
  <c r="I27" i="8"/>
  <c r="J27" i="8"/>
  <c r="H28" i="8"/>
  <c r="I28" i="8"/>
  <c r="J28" i="8"/>
  <c r="H29" i="8"/>
  <c r="I29" i="8"/>
  <c r="J29" i="8"/>
  <c r="H30" i="8"/>
  <c r="I30" i="8"/>
  <c r="J30" i="8"/>
  <c r="H31" i="8"/>
  <c r="I31" i="8"/>
  <c r="J31" i="8"/>
  <c r="H32" i="8"/>
  <c r="I32" i="8"/>
  <c r="J32" i="8"/>
  <c r="H33" i="8"/>
  <c r="I33" i="8"/>
  <c r="J33" i="8"/>
  <c r="H34" i="8"/>
  <c r="I34" i="8"/>
  <c r="J34" i="8"/>
  <c r="H35" i="8"/>
  <c r="I35" i="8"/>
  <c r="J35" i="8"/>
  <c r="H36" i="8"/>
  <c r="I36" i="8"/>
  <c r="J36" i="8"/>
  <c r="H37" i="8"/>
  <c r="I37" i="8"/>
  <c r="J37" i="8"/>
  <c r="E3" i="8"/>
  <c r="F3" i="8"/>
  <c r="G3" i="8"/>
  <c r="E4" i="8"/>
  <c r="F4" i="8"/>
  <c r="G4" i="8"/>
  <c r="E5" i="8"/>
  <c r="F5" i="8"/>
  <c r="G5" i="8" s="1"/>
  <c r="E6" i="8"/>
  <c r="G6" i="8" s="1"/>
  <c r="F6" i="8"/>
  <c r="E7" i="8"/>
  <c r="F7" i="8"/>
  <c r="G7" i="8"/>
  <c r="E8" i="8"/>
  <c r="F8" i="8"/>
  <c r="G8" i="8"/>
  <c r="E9" i="8"/>
  <c r="F9" i="8"/>
  <c r="G9" i="8"/>
  <c r="E10" i="8"/>
  <c r="F10" i="8"/>
  <c r="E11" i="8"/>
  <c r="F11" i="8"/>
  <c r="G11" i="8"/>
  <c r="E12" i="8"/>
  <c r="F12" i="8"/>
  <c r="G12" i="8"/>
  <c r="E13" i="8"/>
  <c r="F13" i="8"/>
  <c r="G13" i="8"/>
  <c r="E14" i="8"/>
  <c r="G14" i="8" s="1"/>
  <c r="F14" i="8"/>
  <c r="E15" i="8"/>
  <c r="F15" i="8"/>
  <c r="G15" i="8"/>
  <c r="E16" i="8"/>
  <c r="F16" i="8"/>
  <c r="G16" i="8"/>
  <c r="E17" i="8"/>
  <c r="F17" i="8"/>
  <c r="G17" i="8"/>
  <c r="E18" i="8"/>
  <c r="F18" i="8"/>
  <c r="E19" i="8"/>
  <c r="F19" i="8"/>
  <c r="G19" i="8"/>
  <c r="E20" i="8"/>
  <c r="F20" i="8"/>
  <c r="G20" i="8"/>
  <c r="E21" i="8"/>
  <c r="F21" i="8"/>
  <c r="G21" i="8"/>
  <c r="E22" i="8"/>
  <c r="F22" i="8"/>
  <c r="E23" i="8"/>
  <c r="F23" i="8"/>
  <c r="G23" i="8"/>
  <c r="E24" i="8"/>
  <c r="F24" i="8"/>
  <c r="G24" i="8"/>
  <c r="E25" i="8"/>
  <c r="F25" i="8"/>
  <c r="G25" i="8"/>
  <c r="E26" i="8"/>
  <c r="F26" i="8"/>
  <c r="E27" i="8"/>
  <c r="F27" i="8"/>
  <c r="G27" i="8"/>
  <c r="E28" i="8"/>
  <c r="F28" i="8"/>
  <c r="G28" i="8"/>
  <c r="E29" i="8"/>
  <c r="F29" i="8"/>
  <c r="G29" i="8"/>
  <c r="E30" i="8"/>
  <c r="G30" i="8" s="1"/>
  <c r="F30" i="8"/>
  <c r="E31" i="8"/>
  <c r="F31" i="8"/>
  <c r="G31" i="8"/>
  <c r="E32" i="8"/>
  <c r="F32" i="8"/>
  <c r="G32" i="8"/>
  <c r="E33" i="8"/>
  <c r="F33" i="8"/>
  <c r="G33" i="8"/>
  <c r="E34" i="8"/>
  <c r="F34" i="8"/>
  <c r="E35" i="8"/>
  <c r="G35" i="8" s="1"/>
  <c r="F35" i="8"/>
  <c r="E36" i="8"/>
  <c r="F36" i="8"/>
  <c r="G36" i="8"/>
  <c r="E37" i="8"/>
  <c r="F37" i="8"/>
  <c r="G37" i="8"/>
  <c r="B3" i="8"/>
  <c r="D3" i="8" s="1"/>
  <c r="C3" i="8"/>
  <c r="B4" i="8"/>
  <c r="C4" i="8"/>
  <c r="B5" i="8"/>
  <c r="C5" i="8"/>
  <c r="D5" i="8"/>
  <c r="B6" i="8"/>
  <c r="C6" i="8"/>
  <c r="B7" i="8"/>
  <c r="D7" i="8" s="1"/>
  <c r="C7" i="8"/>
  <c r="B8" i="8"/>
  <c r="C8" i="8"/>
  <c r="B9" i="8"/>
  <c r="C9" i="8"/>
  <c r="D9" i="8"/>
  <c r="B10" i="8"/>
  <c r="C10" i="8"/>
  <c r="B11" i="8"/>
  <c r="D11" i="8" s="1"/>
  <c r="C11" i="8"/>
  <c r="B12" i="8"/>
  <c r="D12" i="8" s="1"/>
  <c r="C12" i="8"/>
  <c r="B13" i="8"/>
  <c r="C13" i="8"/>
  <c r="D13" i="8"/>
  <c r="B14" i="8"/>
  <c r="C14" i="8"/>
  <c r="B15" i="8"/>
  <c r="D15" i="8" s="1"/>
  <c r="C15" i="8"/>
  <c r="B16" i="8"/>
  <c r="C16" i="8"/>
  <c r="D16" i="8"/>
  <c r="B17" i="8"/>
  <c r="C17" i="8"/>
  <c r="D17" i="8"/>
  <c r="B18" i="8"/>
  <c r="C18" i="8"/>
  <c r="B19" i="8"/>
  <c r="D19" i="8" s="1"/>
  <c r="C19" i="8"/>
  <c r="B20" i="8"/>
  <c r="C20" i="8"/>
  <c r="D20" i="8"/>
  <c r="B21" i="8"/>
  <c r="C21" i="8"/>
  <c r="D21" i="8"/>
  <c r="B22" i="8"/>
  <c r="C22" i="8"/>
  <c r="B23" i="8"/>
  <c r="D23" i="8" s="1"/>
  <c r="C23" i="8"/>
  <c r="B24" i="8"/>
  <c r="C24" i="8"/>
  <c r="D24" i="8"/>
  <c r="B25" i="8"/>
  <c r="C25" i="8"/>
  <c r="D25" i="8"/>
  <c r="B26" i="8"/>
  <c r="C26" i="8"/>
  <c r="B27" i="8"/>
  <c r="D27" i="8" s="1"/>
  <c r="C27" i="8"/>
  <c r="B28" i="8"/>
  <c r="C28" i="8"/>
  <c r="D28" i="8"/>
  <c r="B29" i="8"/>
  <c r="C29" i="8"/>
  <c r="D29" i="8"/>
  <c r="B30" i="8"/>
  <c r="C30" i="8"/>
  <c r="B31" i="8"/>
  <c r="D31" i="8" s="1"/>
  <c r="C31" i="8"/>
  <c r="B32" i="8"/>
  <c r="C32" i="8"/>
  <c r="D32" i="8"/>
  <c r="B33" i="8"/>
  <c r="C33" i="8"/>
  <c r="D33" i="8"/>
  <c r="B34" i="8"/>
  <c r="C34" i="8"/>
  <c r="B35" i="8"/>
  <c r="D35" i="8" s="1"/>
  <c r="C35" i="8"/>
  <c r="B36" i="8"/>
  <c r="C36" i="8"/>
  <c r="D36" i="8"/>
  <c r="B37" i="8"/>
  <c r="C37" i="8"/>
  <c r="D37" i="8"/>
  <c r="E2" i="8"/>
  <c r="F2" i="8"/>
  <c r="B2" i="8"/>
  <c r="C2" i="8"/>
  <c r="L2" i="8"/>
  <c r="I2" i="8"/>
  <c r="H2" i="8"/>
  <c r="X29" i="8" l="1"/>
  <c r="X26" i="8"/>
  <c r="X23" i="8"/>
  <c r="X20" i="8"/>
  <c r="X17" i="8"/>
  <c r="X14" i="8"/>
  <c r="X11" i="8"/>
  <c r="X8" i="8"/>
  <c r="X5" i="8"/>
  <c r="W35" i="8"/>
  <c r="W32" i="8"/>
  <c r="G34" i="8"/>
  <c r="G26" i="8"/>
  <c r="G22" i="8"/>
  <c r="G18" i="8"/>
  <c r="G10" i="8"/>
  <c r="D34" i="8"/>
  <c r="D30" i="8"/>
  <c r="D26" i="8"/>
  <c r="D22" i="8"/>
  <c r="D18" i="8"/>
  <c r="D14" i="8"/>
  <c r="D10" i="8"/>
  <c r="D6" i="8"/>
  <c r="D8" i="8"/>
  <c r="D4" i="8"/>
  <c r="P2" i="8"/>
  <c r="D2" i="8"/>
  <c r="M2" i="8" s="1"/>
  <c r="Z2" i="8"/>
  <c r="G2" i="8"/>
  <c r="N2" i="8" s="1"/>
  <c r="Q2" i="8"/>
  <c r="U2" i="8"/>
  <c r="T2" i="8"/>
  <c r="S2" i="8"/>
  <c r="Y2" i="8"/>
  <c r="AA2" i="8"/>
  <c r="J2" i="8"/>
  <c r="O2" i="8" s="1"/>
  <c r="R2" i="8"/>
  <c r="V2" i="8" l="1"/>
  <c r="X2" i="8"/>
  <c r="W2" i="8"/>
</calcChain>
</file>

<file path=xl/sharedStrings.xml><?xml version="1.0" encoding="utf-8"?>
<sst xmlns="http://schemas.openxmlformats.org/spreadsheetml/2006/main" count="3668" uniqueCount="324">
  <si>
    <t>Note</t>
  </si>
  <si>
    <t>IOWA pp</t>
  </si>
  <si>
    <t>ORCH pp</t>
  </si>
  <si>
    <t>Media pp = (IOWA pp + ORCH pp) / 2</t>
  </si>
  <si>
    <t>IOWA mf</t>
  </si>
  <si>
    <t>ORCH mf</t>
  </si>
  <si>
    <t>Media mf = (IOWA mf + ORCH mf) / 2</t>
  </si>
  <si>
    <t>IOWA ff</t>
  </si>
  <si>
    <t>ORCH ff</t>
  </si>
  <si>
    <t>Media ff = (IOWA ff + ORCH ff) / 2</t>
  </si>
  <si>
    <t xml:space="preserve"> note</t>
  </si>
  <si>
    <t>Media pp</t>
  </si>
  <si>
    <t>Media mf</t>
  </si>
  <si>
    <t>Media ff</t>
  </si>
  <si>
    <t>IOWA -mf-pp</t>
  </si>
  <si>
    <t>IOWA -ff-mf</t>
  </si>
  <si>
    <t>IOWA -ff-pp</t>
  </si>
  <si>
    <t>ORCH -mf-pp</t>
  </si>
  <si>
    <t>ORCH -ff-mf</t>
  </si>
  <si>
    <t>ORCH -ff-pp</t>
  </si>
  <si>
    <t>FINAL_mf_minus_pp</t>
  </si>
  <si>
    <t>FINAL_ff_minus_mf</t>
  </si>
  <si>
    <t>FINAL_ff_minus_pp</t>
  </si>
  <si>
    <t>pp_halfgap_IOWA_ORCH</t>
  </si>
  <si>
    <t>mf_halfgap_IOWA_ORCH</t>
  </si>
  <si>
    <t>ff_halfgap_IOWA_ORCH</t>
  </si>
  <si>
    <t>C3</t>
  </si>
  <si>
    <t>D3</t>
  </si>
  <si>
    <t>E3</t>
  </si>
  <si>
    <t>F3</t>
  </si>
  <si>
    <t>G3</t>
  </si>
  <si>
    <t>A3</t>
  </si>
  <si>
    <t>B3</t>
  </si>
  <si>
    <t>C4</t>
  </si>
  <si>
    <t>D4</t>
  </si>
  <si>
    <t>E4</t>
  </si>
  <si>
    <t>F4</t>
  </si>
  <si>
    <t>G4</t>
  </si>
  <si>
    <t>A4</t>
  </si>
  <si>
    <t>B4</t>
  </si>
  <si>
    <t>C5</t>
  </si>
  <si>
    <t>Db5</t>
  </si>
  <si>
    <t>D5</t>
  </si>
  <si>
    <t>Eb5</t>
  </si>
  <si>
    <t>E5</t>
  </si>
  <si>
    <t>F5</t>
  </si>
  <si>
    <t>Gb5</t>
  </si>
  <si>
    <t>G5</t>
  </si>
  <si>
    <t>Ab5</t>
  </si>
  <si>
    <t>A5</t>
  </si>
  <si>
    <t>Bb5</t>
  </si>
  <si>
    <t>B5</t>
  </si>
  <si>
    <t>C6</t>
  </si>
  <si>
    <t>Db6</t>
  </si>
  <si>
    <t>D6</t>
  </si>
  <si>
    <t>Eb6</t>
  </si>
  <si>
    <t>E6</t>
  </si>
  <si>
    <t>F6</t>
  </si>
  <si>
    <t>Gb6</t>
  </si>
  <si>
    <t>G6</t>
  </si>
  <si>
    <t>Ab6</t>
  </si>
  <si>
    <t>A6</t>
  </si>
  <si>
    <t>A#6</t>
  </si>
  <si>
    <t>B6</t>
  </si>
  <si>
    <t>C7</t>
  </si>
  <si>
    <t>C#7</t>
  </si>
  <si>
    <t>D7</t>
  </si>
  <si>
    <t>D#7</t>
  </si>
  <si>
    <t>E7</t>
  </si>
  <si>
    <t>F7</t>
  </si>
  <si>
    <t>G7</t>
  </si>
  <si>
    <t>G#7</t>
  </si>
  <si>
    <t>A7</t>
  </si>
  <si>
    <t>A#7</t>
  </si>
  <si>
    <t>B7</t>
  </si>
  <si>
    <t>Turn #</t>
  </si>
  <si>
    <t>Date</t>
  </si>
  <si>
    <t>User Request</t>
  </si>
  <si>
    <t>Action Taken</t>
  </si>
  <si>
    <t>Details</t>
  </si>
  <si>
    <t>Outcome</t>
  </si>
  <si>
    <t>Update the graph on Cello_Media (the 'Violin Arco Density — Media by Dynamic Level' chart) after restructuring the workbook.</t>
  </si>
  <si>
    <t>Restyled the 3-series Line chart with labels and a clean scale.</t>
  </si>
  <si>
    <t>Re-pointed 3 series to M2:M50/N2:N50/O2:O50 (values) with note labels L2:L50; named them Media pp/mf/ff. Title corrected to Cello (was Violin). X-axis 'Note (chromatic scale)' (C2→C6), Y-axis 'Combined Density Metric (Media)' min 0 / major unit 20. Sequential teal palette, circle markers, legend bottom. Fixed a blue gradient fill that was hiding the lines (set white background) and over-dense gridlines.</t>
  </si>
  <si>
    <t>Chart on Cello_Media now shows pp/mf/ff density across notes C2→C6 with clean professional styling. (Note: prior Claude Log was deleted; recreated this sheet.)</t>
  </si>
  <si>
    <t>Make the chart lines more contrasting in color.</t>
  </si>
  <si>
    <t>Replaced the low-contrast teal palette with three distinct colors.</t>
  </si>
  <si>
    <t>Media pp = blue (#2563EB), Media mf = amber (#F59E0B), Media ff = red (#DC2626); white-filled circle markers retained. Soft→loud progression preserved.</t>
  </si>
  <si>
    <t>Three lines on the Cello_Media chart are now easily distinguishable.</t>
  </si>
  <si>
    <t>Adjust the graph again (after rebuilding the Cello_Media sheet; user added a 'Polynomial regression - Degree 3' note).</t>
  </si>
  <si>
    <t>Restored collapsed series and added degree-3 polynomial trendlines.</t>
  </si>
  <si>
    <t>After the sheet rebuild the chart's 3 series had collapsed to a single placeholder value; re-pointed them to M2:M50/N2:N50/O2:O50 with categories L2:L50 (C2→C6, 49 notes). Added one degree-3 polynomial trendline per series, dashed, colored to match (pp blue / mf amber / ff red). Removed duplicate trendlines that accumulated because Office.js trendlines.count returns null — had to enumerate .items to delete. Note: chart image export renders trendlines black, but properties confirm the set colors.</t>
  </si>
  <si>
    <t>Cello_Media chart shows full data plus 3 degree-3 polynomial trendlines.</t>
  </si>
  <si>
    <t>Remove the polynomial lines and their labels.</t>
  </si>
  <si>
    <t>Deleted all polynomial trendlines from the chart.</t>
  </si>
  <si>
    <t>Removed the degree-3 polynomial trendline from each of the 3 series (Media pp/mf/ff); their legend entries cleared automatically. Left the user-typed 'Polynomial regression - Degree 3' text in A52 intact.</t>
  </si>
  <si>
    <t>Cello_Media chart now shows only the 3 data lines with a clean legend.</t>
  </si>
  <si>
    <t>2026-08-23 16:44</t>
  </si>
  <si>
    <t>Paste 90-tier spectral_mass into the matching CDM cells (IOWA C→C, G→G, D→D, A→A / E; Orchidea ff→ff, mf→mf, pp→pp).</t>
  </si>
  <si>
    <t>Substituted Combined density metric / CDM numbers only; Media formulas left unchanged. Close and reopen this file, then open the IOWA_* and ORCH_* sheets (not Media) to see the new values.</t>
  </si>
  <si>
    <t>viola: wrote 440 CDM cells from compiled_density_metrics_research.xlsx. Look at column H/L/P/T on IOWA sheets (header CDM) and column F on ORCH sheets.</t>
  </si>
  <si>
    <t>Done. Recalculate (Ctrl+Alt+F9) if Media still shows old cached numbers.</t>
  </si>
  <si>
    <t>2026-08-23 16:56</t>
  </si>
  <si>
    <t>Instrument</t>
  </si>
  <si>
    <t>Collection</t>
  </si>
  <si>
    <t>Technique/state</t>
  </si>
  <si>
    <t>Dynamic</t>
  </si>
  <si>
    <t>Source note</t>
  </si>
  <si>
    <t>Notes</t>
  </si>
  <si>
    <t>CDM - Media</t>
  </si>
  <si>
    <t>Estimate</t>
  </si>
  <si>
    <t>Viola</t>
  </si>
  <si>
    <t>IOWA</t>
  </si>
  <si>
    <t>harmonics</t>
  </si>
  <si>
    <t>pp</t>
  </si>
  <si>
    <t>IOWA_anchored</t>
  </si>
  <si>
    <t>D#4</t>
  </si>
  <si>
    <t>C#5</t>
  </si>
  <si>
    <t>D#5</t>
  </si>
  <si>
    <t>F#5</t>
  </si>
  <si>
    <t>mf</t>
  </si>
  <si>
    <t>ff</t>
  </si>
  <si>
    <t>Bb6</t>
  </si>
  <si>
    <t>Combined density metric</t>
  </si>
  <si>
    <t>ORCH</t>
  </si>
  <si>
    <t>ORCHIDEA_anchored</t>
  </si>
  <si>
    <t>measured</t>
  </si>
  <si>
    <t>Viola harmonics (IOWA modelled + ORCH measured/modelled)</t>
  </si>
  <si>
    <t>Generated</t>
  </si>
  <si>
    <t>2026-06-18 13:39:22</t>
  </si>
  <si>
    <t>Source workbooks</t>
  </si>
  <si>
    <t>Viola.xlsx (colocar todos)</t>
  </si>
  <si>
    <t>Purpose</t>
  </si>
  <si>
    <t>Viola harmonics: IOWA column W = FINAL_PREFERRED_IOWA (IOWA_ordinario × exp(L)); per-string ordinario CDMs cleared. ORCH column F = FINAL_PREFERRED_ORCHIDEA (measured if present, else modelled). Media = unique metric per dynamic = AVERAGE of the collections that have a value. Counts IOWA {'pp': 45, 'mf': 45, 'ff': 47}; ORCH {'pp': 49, 'mf': 49, 'ff': 49}. Built 2026-08-26T15:16:36.530157+00:00</t>
  </si>
  <si>
    <t>Statistical rule</t>
  </si>
  <si>
    <t>With two source collections, the median is equal to the arithmetic midpoint of the two values. The workbook nevertheless uses the Excel MEDIAN() function so that the logic remains explicit and extensible.</t>
  </si>
  <si>
    <t>Recommended Zenodo role</t>
  </si>
  <si>
    <t>Deposit this file as internal dataset metadata / summary statistics, alongside the ZIP packages for the note-level outputs.</t>
  </si>
  <si>
    <t>Do not use as</t>
  </si>
  <si>
    <t>Do not treat this file as a replacement for the raw note-level outputs, logs, segmentation metadata, or compiled metrics. It is a derived summary layer.</t>
  </si>
  <si>
    <t>Quality warning</t>
  </si>
  <si>
    <t>The uploaded workbook contains enharmonic source-label differences, two missing-octave labels for Gb, and one likely pitch/octave mismatch in ff: IOWA B5 paired with ORCH B4. These are preserved and flagged in the workbook.</t>
  </si>
  <si>
    <t>Sheets</t>
  </si>
  <si>
    <t>Median_Long; Median_Matrix; Summary_By_Dynamic; Quality_Checks; Zenodo_File_Metadata; plus cleaned dynamic sheets pp/mf/ff.</t>
  </si>
  <si>
    <t>Measured-priority note</t>
  </si>
  <si>
    <t>ORCH values present in E:\ORCHIDEA_Effects research spectral_mass were forced to measured (2026-08-26T15:17:07.841603+00:00). Modelled FINAL kept only where no live measurement exists.</t>
  </si>
  <si>
    <t>field</t>
  </si>
  <si>
    <t>value</t>
  </si>
  <si>
    <t>recommended_filename</t>
  </si>
  <si>
    <t>Viola_Zenodo_collections_harmonics.xlsx</t>
  </si>
  <si>
    <t>title</t>
  </si>
  <si>
    <t>Viola harmonics Combined Density Metric (IOWA modelled + ORCH)</t>
  </si>
  <si>
    <t>resource_role</t>
  </si>
  <si>
    <t>internal dataset metadata / summary statistics</t>
  </si>
  <si>
    <t>instrument</t>
  </si>
  <si>
    <t>technique</t>
  </si>
  <si>
    <t>sample_type</t>
  </si>
  <si>
    <t>sustains</t>
  </si>
  <si>
    <t>dynamics</t>
  </si>
  <si>
    <t>pp; mf; ff</t>
  </si>
  <si>
    <t>source_collections</t>
  </si>
  <si>
    <t>IOWA+ORCH</t>
  </si>
  <si>
    <t>metric</t>
  </si>
  <si>
    <t>Combined Density Metric</t>
  </si>
  <si>
    <t>statistic</t>
  </si>
  <si>
    <t>Unique Media metric per dynamic = average of available IOWA FINAL and ORCH (measured or modelled). Notes without either collection stay blank.</t>
  </si>
  <si>
    <t>source_workbook</t>
  </si>
  <si>
    <t>Viola.xlsx</t>
  </si>
  <si>
    <t>source_workbook_sha256</t>
  </si>
  <si>
    <t>e9313372563e1da85d7f73534b8391dbfbd44eca531f9e69400e34432f6d3415</t>
  </si>
  <si>
    <t>quality_control_note</t>
  </si>
  <si>
    <t>IOWA from FINAL_PREFERRED_IOWA_MATRIX.csv. ORCH from FINAL_PREFERRED_ORCHIDEA_MATRIX.csv when an Orchidea-target model exists, otherwise orchidea_inventory.csv. Ordinario templates were copied, not modified.</t>
  </si>
  <si>
    <t>recommended_zenodo_description</t>
  </si>
  <si>
    <t>This workbook provides note-level and dynamic-level median summaries for viola arco sustained-note combined-density metrics derived from two sound collections (IOWA and ORCH), at pp, mf and ff dynamic levels. It is intended as a compact summary-statistics layer accompanying the full analysis outputs, logs, segmentation metadata and compiled metric files.</t>
  </si>
  <si>
    <t>rows_accepted</t>
  </si>
  <si>
    <t>textural_density_importer</t>
  </si>
  <si>
    <t>WorkbookMeta/Registry/AcousticTable/Provenance/Aliases sheets added for tools/import_instrument_profiles_from_excel.py (Phase 1a).</t>
  </si>
  <si>
    <t>Category</t>
  </si>
  <si>
    <t>Value</t>
  </si>
  <si>
    <t>Meaning / use</t>
  </si>
  <si>
    <t>Recommended in this file?</t>
  </si>
  <si>
    <t>Sheet type</t>
  </si>
  <si>
    <t>source collection sheet</t>
  </si>
  <si>
    <t>One sheet for one sound collection and one dynamic level.</t>
  </si>
  <si>
    <t>Yes</t>
  </si>
  <si>
    <t>derived mean sheet</t>
  </si>
  <si>
    <t>Sheet where ORCH and IOWA values are averaged by formula.</t>
  </si>
  <si>
    <t>identification sheet</t>
  </si>
  <si>
    <t>README or Zenodo metadata sheet documenting the file.</t>
  </si>
  <si>
    <t>Aggregation</t>
  </si>
  <si>
    <t>arithmetic mean</t>
  </si>
  <si>
    <t>(ORCH + IOWA) / 2 for each note and dynamic level.</t>
  </si>
  <si>
    <t>median</t>
  </si>
  <si>
    <t>Middle value in an ordered set; with two collections it equals the midpoint but is not the stated aim here.</t>
  </si>
  <si>
    <t>No, unless deliberately chosen</t>
  </si>
  <si>
    <t>Pianissimo dynamic level.</t>
  </si>
  <si>
    <t>Mezzo-forte dynamic level.</t>
  </si>
  <si>
    <t>Fortissimo dynamic level.</t>
  </si>
  <si>
    <t>Orchestral/sound-collection source label preserved from the workbook.</t>
  </si>
  <si>
    <t>Iowa sound-collection source label preserved from the workbook.</t>
  </si>
  <si>
    <t>arco / ordinario</t>
  </si>
  <si>
    <t>Bowed ordinary violin state; adjust if source naming is more specific.</t>
  </si>
  <si>
    <t>Zenodo status</t>
  </si>
  <si>
    <t>internal metadata</t>
  </si>
  <si>
    <t>Detailed file-level or note-level information deposited inside a Zenodo record.</t>
  </si>
  <si>
    <t>record metadata</t>
  </si>
  <si>
    <t>Public metadata entered in Zenodo form fields.</t>
  </si>
  <si>
    <t>No; do not overload Zenodo form with every row</t>
  </si>
  <si>
    <t>Rights</t>
  </si>
  <si>
    <t>derived metadata</t>
  </si>
  <si>
    <t>Numerical and documentary outputs derived from analysis.</t>
  </si>
  <si>
    <t>source audio</t>
  </si>
  <si>
    <t>Original sound files; redistribute only if licence permits.</t>
  </si>
  <si>
    <t>Conditional</t>
  </si>
  <si>
    <t>key</t>
  </si>
  <si>
    <t>acoustic_pitch_basis</t>
  </si>
  <si>
    <t>sounding_concert</t>
  </si>
  <si>
    <t>schema_version</t>
  </si>
  <si>
    <t>1.0.0</t>
  </si>
  <si>
    <t>template</t>
  </si>
  <si>
    <t>instrument_profiles_template.xlsx</t>
  </si>
  <si>
    <t>source_media_sheet</t>
  </si>
  <si>
    <t>VIOLA_Media</t>
  </si>
  <si>
    <t>curated_for</t>
  </si>
  <si>
    <t>Textural Density Phase 1a importer</t>
  </si>
  <si>
    <t>generated_at</t>
  </si>
  <si>
    <t>2026-08-26T15:16:36.530157+00:00</t>
  </si>
  <si>
    <t>iowa_source</t>
  </si>
  <si>
    <t>D:\CORDAS_2\FINAL ANALYSIS\FINAL_PREFERRED_IOWA_MATRIX.csv</t>
  </si>
  <si>
    <t>orch_source</t>
  </si>
  <si>
    <t>final</t>
  </si>
  <si>
    <t>ordinario_template_untouched</t>
  </si>
  <si>
    <t>yes</t>
  </si>
  <si>
    <t>instrument_id</t>
  </si>
  <si>
    <t>display_name</t>
  </si>
  <si>
    <t>family</t>
  </si>
  <si>
    <t>subfamily</t>
  </si>
  <si>
    <t>transposition</t>
  </si>
  <si>
    <t>sounding_range_low_midi</t>
  </si>
  <si>
    <t>sounding_range_high_midi</t>
  </si>
  <si>
    <t>comfortable_range_low_midi</t>
  </si>
  <si>
    <t>comfortable_range_high_midi</t>
  </si>
  <si>
    <t>profile_status</t>
  </si>
  <si>
    <t>source_type</t>
  </si>
  <si>
    <t>uncertainty</t>
  </si>
  <si>
    <t>source_notes</t>
  </si>
  <si>
    <t>supported_techniques</t>
  </si>
  <si>
    <t>aliases</t>
  </si>
  <si>
    <t>viola</t>
  </si>
  <si>
    <t>strings</t>
  </si>
  <si>
    <t>bowed_strings</t>
  </si>
  <si>
    <t>empirical_profile</t>
  </si>
  <si>
    <t>external_acoustic_metadata</t>
  </si>
  <si>
    <t>medium</t>
  </si>
  <si>
    <t>Sparse arco/sustain Combined Density Metric (CDM) table for Viola at pp/mf/ff. Values are the arithmetic midpoint of IOWA and ORCH collection summaries on sheet 'VIOLA_Media' (sounding/concert pitch). External acoustic proxy metadata for Textural Density — not runtime audio analysis.</t>
  </si>
  <si>
    <t>arco|pizzicato|tremolo|harmonic|mute</t>
  </si>
  <si>
    <t>note_sounding</t>
  </si>
  <si>
    <t>midi_sounding</t>
  </si>
  <si>
    <t>dynamic</t>
  </si>
  <si>
    <t>value_kind</t>
  </si>
  <si>
    <t>unit</t>
  </si>
  <si>
    <t>cell_status</t>
  </si>
  <si>
    <t>source_system</t>
  </si>
  <si>
    <t>source_file</t>
  </si>
  <si>
    <t>source_column</t>
  </si>
  <si>
    <t>source_hash</t>
  </si>
  <si>
    <t>transform_policy</t>
  </si>
  <si>
    <t>validation_status</t>
  </si>
  <si>
    <t>notes</t>
  </si>
  <si>
    <t>note_written_optional</t>
  </si>
  <si>
    <t>midi_written_optional</t>
  </si>
  <si>
    <t>transposition_semitones_optional</t>
  </si>
  <si>
    <t>combined_density_metric</t>
  </si>
  <si>
    <t>cdm_technique_sustain_v1</t>
  </si>
  <si>
    <t>media_unique</t>
  </si>
  <si>
    <t>IOWA+ORCH technique</t>
  </si>
  <si>
    <t>Media = available(IOWA, ORCH)</t>
  </si>
  <si>
    <t>identity_v1</t>
  </si>
  <si>
    <t>accepted</t>
  </si>
  <si>
    <t>IOWA modelled; ORCH ORCHIDEA_anchored; harmonics</t>
  </si>
  <si>
    <t>C#3</t>
  </si>
  <si>
    <t>D#3</t>
  </si>
  <si>
    <t>F#3</t>
  </si>
  <si>
    <t>G#3</t>
  </si>
  <si>
    <t>A#3</t>
  </si>
  <si>
    <t>C#4</t>
  </si>
  <si>
    <t>F#4</t>
  </si>
  <si>
    <t>G#4</t>
  </si>
  <si>
    <t>A#4</t>
  </si>
  <si>
    <t>G#5</t>
  </si>
  <si>
    <t>A#5</t>
  </si>
  <si>
    <t>C#6</t>
  </si>
  <si>
    <t>D#6</t>
  </si>
  <si>
    <t>F#6</t>
  </si>
  <si>
    <t>G#6</t>
  </si>
  <si>
    <t>IOWA absent; ORCH ORCHIDEA_anchored; harmonics</t>
  </si>
  <si>
    <t>IOWA modelled; ORCH measured; harmonics</t>
  </si>
  <si>
    <t>IOWA absent; ORCH measured; harmonics</t>
  </si>
  <si>
    <t>citation</t>
  </si>
  <si>
    <t>source_url_or_identifier</t>
  </si>
  <si>
    <t>upstream_system</t>
  </si>
  <si>
    <t>upstream_version</t>
  </si>
  <si>
    <t>analysis_profile_hash</t>
  </si>
  <si>
    <t>import_run_id</t>
  </si>
  <si>
    <t>import_date</t>
  </si>
  <si>
    <t>operator</t>
  </si>
  <si>
    <t>transform_parameters</t>
  </si>
  <si>
    <t>rows_rejected</t>
  </si>
  <si>
    <t>Viola harmonics: IOWA FINAL modelled; ORCH final; Media unique metric per dynamic.</t>
  </si>
  <si>
    <t>D:\CORDAS\ViOLA_Zenodo_collections_media.xlsx</t>
  </si>
  <si>
    <t>IOWA+ORCH string analysis corpus</t>
  </si>
  <si>
    <t>v1</t>
  </si>
  <si>
    <t>2026-06-19</t>
  </si>
  <si>
    <t>populate_td_importer_sheets_from_zenodo_media.py</t>
  </si>
  <si>
    <t>CDM midpoint pass-through; no rescaling</t>
  </si>
  <si>
    <t>Derived from VIOLA_Media Media pp/mf/ff columns</t>
  </si>
  <si>
    <t>alias</t>
  </si>
  <si>
    <t>alias_kind</t>
  </si>
  <si>
    <t>registry</t>
  </si>
  <si>
    <t>F#7</t>
  </si>
  <si>
    <t>Polynomial regression 3</t>
  </si>
  <si>
    <t>local_ridge_edge</t>
  </si>
  <si>
    <t>polynomial_wide</t>
  </si>
  <si>
    <t>local_ridge_wide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</si>
</sst>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4">
    <font>
      <sz val="11"/>
      <name val="Carlito"/>
    </font>
    <font>
      <b/>
      <sz val="9"/>
      <color rgb="FFFFFFFF"/>
      <name val="Carlito"/>
    </font>
    <font>
      <sz val="9"/>
      <name val="Carlito"/>
    </font>
    <font>
      <b/>
      <sz val="8"/>
      <color rgb="FFFFFFFF"/>
      <name val="Carlito"/>
    </font>
    <font>
      <sz val="8"/>
      <name val="Carlito"/>
    </font>
    <font>
      <b/>
      <sz val="9"/>
      <name val="Carlito"/>
    </font>
    <font>
      <b/>
      <sz val="10"/>
      <color rgb="FFFFFFFF"/>
      <name val="Carlito"/>
    </font>
    <font>
      <sz val="10"/>
      <name val="Carlito"/>
    </font>
    <font>
      <b/>
      <sz val="10"/>
      <color rgb="FF0F3D3E"/>
      <name val="Carlito"/>
    </font>
    <font>
      <sz val="9"/>
      <color theme="1"/>
      <name val="Carlito"/>
    </font>
    <font>
      <b/>
      <sz val="11"/>
      <color rgb="FFFFFFFF"/>
      <name val="Carlito"/>
    </font>
    <font>
      <b/>
      <sz val="8"/>
      <name val="Carlito"/>
    </font>
    <font>
      <b/>
      <sz val="9"/>
      <color rgb="FF0070C0"/>
      <name val="Carlito"/>
    </font>
    <font>
      <b/>
      <sz val="9"/>
      <color theme="1"/>
      <name val="Carlito"/>
    </font>
  </fonts>
  <fills count="18">
    <fill>
      <patternFill patternType="none"/>
    </fill>
    <fill>
      <patternFill patternType="gray125"/>
    </fill>
    <fill>
      <patternFill patternType="solid">
        <fgColor rgb="FF0F766E"/>
      </patternFill>
    </fill>
    <fill>
      <patternFill patternType="solid">
        <fgColor rgb="FFE5F3F0"/>
      </patternFill>
    </fill>
    <fill>
      <patternFill patternType="solid">
        <fgColor theme="0"/>
        <bgColor indexed="6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3" tint="0.749992370372631"/>
        <bgColor theme="4" tint="0.79998168889431442"/>
      </patternFill>
    </fill>
    <fill>
      <patternFill patternType="solid">
        <fgColor theme="3" tint="0.89999084444715716"/>
        <bgColor theme="4" tint="0.79998168889431442"/>
      </patternFill>
    </fill>
    <fill>
      <patternFill patternType="solid">
        <fgColor rgb="FF0F766E"/>
        <bgColor indexed="64"/>
      </patternFill>
    </fill>
    <fill>
      <patternFill patternType="solid">
        <fgColor theme="1" tint="0.249977111117893"/>
        <bgColor indexed="64"/>
      </patternFill>
    </fill>
    <fill>
      <patternFill patternType="solid">
        <fgColor theme="9" tint="0.79998168889431442"/>
        <bgColor indexed="64"/>
      </patternFill>
    </fill>
    <fill>
      <patternFill patternType="solid">
        <fgColor theme="3" tint="0.499984740745262"/>
        <bgColor theme="4" tint="0.79998168889431442"/>
      </patternFill>
    </fill>
    <fill>
      <patternFill patternType="solid">
        <fgColor theme="2" tint="-0.749992370372631"/>
        <bgColor indexed="64"/>
      </patternFill>
    </fill>
    <fill>
      <patternFill patternType="solid">
        <fgColor theme="1" tint="0.14999847407452621"/>
        <bgColor indexed="64"/>
      </patternFill>
    </fill>
    <fill>
      <patternFill patternType="solid">
        <fgColor theme="7" tint="0.79998168889431442"/>
        <bgColor indexed="64"/>
      </patternFill>
    </fill>
    <fill>
      <patternFill patternType="solid">
        <fgColor rgb="FF548235"/>
      </patternFill>
    </fill>
    <fill>
      <patternFill patternType="solid">
        <fgColor rgb="FFA64D79"/>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top style="thin">
        <color auto="1"/>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90">
    <xf numFmtId="0" fontId="0" fillId="0" borderId="0" xfId="0"/>
    <xf numFmtId="0" fontId="1" fillId="2" borderId="0" xfId="0" applyFont="1" applyFill="1" applyAlignment="1">
      <alignment horizontal="center" vertical="center" wrapText="1"/>
    </xf>
    <xf numFmtId="0" fontId="2" fillId="0" borderId="0" xfId="0" applyFont="1"/>
    <xf numFmtId="0" fontId="2" fillId="0" borderId="0" xfId="0" applyFont="1" applyAlignment="1">
      <alignment horizontal="center"/>
    </xf>
    <xf numFmtId="0" fontId="3" fillId="2" borderId="0" xfId="0" applyFont="1" applyFill="1" applyAlignment="1">
      <alignment horizontal="center" vertical="center" wrapText="1"/>
    </xf>
    <xf numFmtId="0" fontId="1" fillId="2" borderId="0" xfId="0" applyFont="1" applyFill="1" applyAlignment="1">
      <alignment horizontal="center"/>
    </xf>
    <xf numFmtId="0" fontId="7" fillId="0" borderId="0" xfId="0" applyFont="1"/>
    <xf numFmtId="0" fontId="8" fillId="3" borderId="1" xfId="0" applyFont="1" applyFill="1" applyBorder="1" applyAlignment="1">
      <alignment wrapText="1"/>
    </xf>
    <xf numFmtId="0" fontId="7" fillId="0" borderId="1" xfId="0" applyFont="1" applyBorder="1" applyAlignment="1">
      <alignment wrapText="1"/>
    </xf>
    <xf numFmtId="0" fontId="6" fillId="2" borderId="0" xfId="0" applyFont="1" applyFill="1" applyAlignment="1">
      <alignment horizontal="center" vertical="center" wrapText="1"/>
    </xf>
    <xf numFmtId="0" fontId="8" fillId="3" borderId="0" xfId="0" applyFont="1" applyFill="1" applyAlignment="1">
      <alignment wrapText="1"/>
    </xf>
    <xf numFmtId="0" fontId="7" fillId="0" borderId="0" xfId="0" applyFont="1" applyAlignment="1">
      <alignment wrapText="1"/>
    </xf>
    <xf numFmtId="0" fontId="2" fillId="0" borderId="1" xfId="0" applyFont="1" applyBorder="1" applyAlignment="1">
      <alignment wrapText="1"/>
    </xf>
    <xf numFmtId="0" fontId="9" fillId="5" borderId="1" xfId="0" applyFont="1" applyFill="1" applyBorder="1" applyAlignment="1">
      <alignment horizontal="center" wrapText="1"/>
    </xf>
    <xf numFmtId="0" fontId="9" fillId="6" borderId="1" xfId="0" applyFont="1" applyFill="1" applyBorder="1" applyAlignment="1">
      <alignment horizontal="center" wrapText="1"/>
    </xf>
    <xf numFmtId="0" fontId="9" fillId="0" borderId="1" xfId="0" applyFont="1" applyBorder="1" applyAlignment="1">
      <alignment horizontal="center" wrapText="1"/>
    </xf>
    <xf numFmtId="0" fontId="2" fillId="4" borderId="0" xfId="0" applyFont="1" applyFill="1" applyAlignment="1">
      <alignment horizontal="center"/>
    </xf>
    <xf numFmtId="0" fontId="9" fillId="6" borderId="4" xfId="0" applyFont="1" applyFill="1" applyBorder="1" applyAlignment="1">
      <alignment horizontal="center" wrapText="1"/>
    </xf>
    <xf numFmtId="0" fontId="10" fillId="9" borderId="0" xfId="0" applyFont="1" applyFill="1"/>
    <xf numFmtId="14" fontId="0" fillId="0" borderId="0" xfId="0" applyNumberFormat="1"/>
    <xf numFmtId="0" fontId="2" fillId="10" borderId="0" xfId="0" applyFont="1" applyFill="1" applyAlignment="1">
      <alignment horizontal="center"/>
    </xf>
    <xf numFmtId="0" fontId="9" fillId="5" borderId="4" xfId="0" applyFont="1" applyFill="1" applyBorder="1" applyAlignment="1">
      <alignment horizontal="center" wrapText="1"/>
    </xf>
    <xf numFmtId="0" fontId="2" fillId="0" borderId="15" xfId="0" applyFont="1" applyBorder="1" applyAlignment="1">
      <alignment horizontal="center"/>
    </xf>
    <xf numFmtId="0" fontId="3" fillId="13" borderId="0" xfId="0" applyFont="1" applyFill="1" applyAlignment="1">
      <alignment horizontal="center" vertical="center" wrapText="1"/>
    </xf>
    <xf numFmtId="164" fontId="2" fillId="0" borderId="1" xfId="0" applyNumberFormat="1" applyFont="1" applyBorder="1" applyAlignment="1">
      <alignment horizontal="center" wrapText="1"/>
    </xf>
    <xf numFmtId="0" fontId="5" fillId="11" borderId="3" xfId="0" applyFont="1" applyFill="1" applyBorder="1" applyAlignment="1">
      <alignment horizontal="center" vertical="center" wrapText="1"/>
    </xf>
    <xf numFmtId="0" fontId="5" fillId="11" borderId="5" xfId="0" applyFont="1" applyFill="1" applyBorder="1" applyAlignment="1">
      <alignment horizontal="center" vertical="center" wrapText="1"/>
    </xf>
    <xf numFmtId="0" fontId="5" fillId="11" borderId="6" xfId="0" applyFont="1" applyFill="1" applyBorder="1" applyAlignment="1">
      <alignment horizontal="left" vertical="center" wrapText="1"/>
    </xf>
    <xf numFmtId="164" fontId="2" fillId="0" borderId="4" xfId="0" applyNumberFormat="1" applyFont="1" applyBorder="1" applyAlignment="1">
      <alignment horizontal="center" wrapText="1"/>
    </xf>
    <xf numFmtId="164" fontId="2" fillId="0" borderId="7" xfId="0" applyNumberFormat="1" applyFont="1" applyBorder="1" applyAlignment="1">
      <alignment horizontal="left" wrapText="1"/>
    </xf>
    <xf numFmtId="0" fontId="5" fillId="11" borderId="16" xfId="0" applyFont="1" applyFill="1" applyBorder="1" applyAlignment="1">
      <alignment horizontal="center" vertical="center" wrapText="1"/>
    </xf>
    <xf numFmtId="0" fontId="5" fillId="11" borderId="17" xfId="0" applyFont="1" applyFill="1" applyBorder="1" applyAlignment="1">
      <alignment horizontal="center" vertical="center" wrapText="1"/>
    </xf>
    <xf numFmtId="0" fontId="5" fillId="11" borderId="17" xfId="0" applyFont="1" applyFill="1" applyBorder="1" applyAlignment="1">
      <alignment horizontal="left" vertical="center" wrapText="1"/>
    </xf>
    <xf numFmtId="164" fontId="2" fillId="0" borderId="3" xfId="0" applyNumberFormat="1" applyFont="1" applyBorder="1" applyAlignment="1">
      <alignment horizontal="center" wrapText="1"/>
    </xf>
    <xf numFmtId="164" fontId="2" fillId="0" borderId="5" xfId="0" applyNumberFormat="1" applyFont="1" applyBorder="1" applyAlignment="1">
      <alignment horizontal="center" wrapText="1"/>
    </xf>
    <xf numFmtId="164" fontId="2" fillId="0" borderId="6" xfId="0" applyNumberFormat="1" applyFont="1" applyBorder="1" applyAlignment="1">
      <alignment horizontal="left" wrapText="1"/>
    </xf>
    <xf numFmtId="0" fontId="9" fillId="0" borderId="4" xfId="0" applyFont="1" applyBorder="1" applyAlignment="1">
      <alignment horizontal="center" wrapText="1"/>
    </xf>
    <xf numFmtId="0" fontId="13" fillId="11" borderId="3" xfId="0" applyFont="1" applyFill="1" applyBorder="1" applyAlignment="1">
      <alignment horizontal="center" vertical="center" wrapText="1"/>
    </xf>
    <xf numFmtId="0" fontId="13" fillId="15" borderId="3" xfId="0" applyFont="1" applyFill="1" applyBorder="1" applyAlignment="1">
      <alignment horizontal="center" vertical="center" wrapText="1"/>
    </xf>
    <xf numFmtId="0" fontId="1" fillId="16" borderId="9" xfId="0" applyFont="1" applyFill="1" applyBorder="1" applyAlignment="1">
      <alignment horizontal="center" vertical="center" wrapText="1"/>
    </xf>
    <xf numFmtId="0" fontId="1" fillId="16" borderId="5" xfId="0" applyFont="1" applyFill="1" applyBorder="1" applyAlignment="1">
      <alignment horizontal="center" vertical="center" wrapText="1"/>
    </xf>
    <xf numFmtId="0" fontId="1" fillId="16" borderId="6" xfId="0" applyFont="1" applyFill="1" applyBorder="1" applyAlignment="1">
      <alignment horizontal="center" vertical="center" wrapText="1"/>
    </xf>
    <xf numFmtId="0" fontId="10" fillId="17" borderId="0" xfId="0" applyFont="1" applyFill="1" applyAlignment="1">
      <alignment horizontal="center" vertical="center" wrapText="1"/>
    </xf>
    <xf numFmtId="165" fontId="9" fillId="0" borderId="4" xfId="0" applyNumberFormat="1" applyFont="1" applyBorder="1" applyAlignment="1">
      <alignment horizontal="center" vertical="center" wrapText="1"/>
    </xf>
    <xf numFmtId="165" fontId="2" fillId="0" borderId="2" xfId="0" applyNumberFormat="1" applyFont="1" applyBorder="1" applyAlignment="1">
      <alignment horizontal="center" vertical="center" wrapText="1"/>
    </xf>
    <xf numFmtId="165" fontId="9" fillId="0" borderId="2" xfId="0" applyNumberFormat="1" applyFont="1" applyBorder="1" applyAlignment="1">
      <alignment horizontal="center" vertical="center" wrapText="1"/>
    </xf>
    <xf numFmtId="0" fontId="5"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2" fillId="0" borderId="1" xfId="0" applyFont="1" applyBorder="1" applyAlignment="1">
      <alignment horizontal="center" wrapText="1"/>
    </xf>
    <xf numFmtId="0" fontId="0" fillId="0" borderId="1" xfId="0" applyBorder="1"/>
    <xf numFmtId="0" fontId="11" fillId="0" borderId="1" xfId="0" applyFont="1" applyBorder="1" applyAlignment="1">
      <alignment horizontal="center" wrapText="1"/>
    </xf>
    <xf numFmtId="0" fontId="2" fillId="0" borderId="5" xfId="0" applyFont="1" applyBorder="1" applyAlignment="1">
      <alignment horizontal="center" wrapText="1"/>
    </xf>
    <xf numFmtId="0" fontId="2" fillId="0" borderId="4" xfId="0" applyFont="1" applyBorder="1" applyAlignment="1">
      <alignment horizontal="center" wrapText="1"/>
    </xf>
    <xf numFmtId="0" fontId="0" fillId="0" borderId="7" xfId="0" applyBorder="1"/>
    <xf numFmtId="0" fontId="2" fillId="0" borderId="13" xfId="0" applyFont="1" applyBorder="1" applyAlignment="1">
      <alignment horizontal="center" wrapText="1"/>
    </xf>
    <xf numFmtId="0" fontId="2" fillId="0" borderId="14" xfId="0" applyFont="1" applyBorder="1" applyAlignment="1">
      <alignment horizontal="center" wrapText="1"/>
    </xf>
    <xf numFmtId="0" fontId="11" fillId="0" borderId="14" xfId="0" applyFont="1" applyBorder="1" applyAlignment="1">
      <alignment horizontal="center" wrapText="1"/>
    </xf>
    <xf numFmtId="164" fontId="2" fillId="0" borderId="14" xfId="0" applyNumberFormat="1" applyFont="1" applyBorder="1" applyAlignment="1">
      <alignment horizontal="center" wrapText="1"/>
    </xf>
    <xf numFmtId="0" fontId="0" fillId="0" borderId="8" xfId="0" applyBorder="1"/>
    <xf numFmtId="0" fontId="4" fillId="0" borderId="1" xfId="0" applyFont="1" applyBorder="1" applyAlignment="1">
      <alignment horizontal="center" wrapText="1"/>
    </xf>
    <xf numFmtId="0" fontId="4" fillId="0" borderId="14" xfId="0" applyFont="1" applyBorder="1" applyAlignment="1">
      <alignment horizontal="center" wrapText="1"/>
    </xf>
    <xf numFmtId="164" fontId="12" fillId="0" borderId="1" xfId="0" applyNumberFormat="1" applyFont="1" applyBorder="1" applyAlignment="1">
      <alignment horizontal="center" wrapText="1"/>
    </xf>
    <xf numFmtId="0" fontId="9" fillId="5" borderId="1" xfId="0" applyFont="1" applyFill="1" applyBorder="1" applyAlignment="1">
      <alignment horizontal="center" vertical="center" wrapText="1"/>
    </xf>
    <xf numFmtId="164" fontId="9" fillId="6" borderId="1" xfId="0" applyNumberFormat="1" applyFont="1" applyFill="1" applyBorder="1" applyAlignment="1">
      <alignment horizontal="center" vertical="center" wrapText="1"/>
    </xf>
    <xf numFmtId="0" fontId="9" fillId="6" borderId="1" xfId="0" applyFont="1" applyFill="1" applyBorder="1" applyAlignment="1">
      <alignment horizontal="center" vertical="center" wrapText="1"/>
    </xf>
    <xf numFmtId="164" fontId="2" fillId="14" borderId="1" xfId="0" applyNumberFormat="1" applyFont="1" applyFill="1" applyBorder="1" applyAlignment="1">
      <alignment horizontal="left"/>
    </xf>
    <xf numFmtId="0" fontId="9" fillId="0" borderId="1" xfId="0" applyFont="1" applyBorder="1" applyAlignment="1">
      <alignment horizontal="center" vertical="center" wrapText="1"/>
    </xf>
    <xf numFmtId="0" fontId="2" fillId="0" borderId="1" xfId="0" applyFont="1" applyBorder="1" applyAlignment="1">
      <alignment horizontal="center"/>
    </xf>
    <xf numFmtId="0" fontId="9" fillId="0" borderId="13" xfId="0" applyFont="1" applyBorder="1" applyAlignment="1">
      <alignment horizontal="center" wrapText="1"/>
    </xf>
    <xf numFmtId="0" fontId="9" fillId="0" borderId="14" xfId="0" applyFont="1" applyBorder="1" applyAlignment="1">
      <alignment horizontal="center" wrapText="1"/>
    </xf>
    <xf numFmtId="164" fontId="2" fillId="14" borderId="14" xfId="0" applyNumberFormat="1" applyFont="1" applyFill="1" applyBorder="1" applyAlignment="1">
      <alignment horizontal="left"/>
    </xf>
    <xf numFmtId="164" fontId="12" fillId="6" borderId="1" xfId="0" applyNumberFormat="1" applyFont="1" applyFill="1" applyBorder="1" applyAlignment="1">
      <alignment horizontal="center" vertical="center" wrapText="1"/>
    </xf>
    <xf numFmtId="0" fontId="2" fillId="0" borderId="19" xfId="0" applyFont="1" applyBorder="1" applyAlignment="1">
      <alignment horizontal="center"/>
    </xf>
    <xf numFmtId="164" fontId="9" fillId="12" borderId="1" xfId="0" applyNumberFormat="1" applyFont="1" applyFill="1" applyBorder="1" applyAlignment="1">
      <alignment horizontal="center" wrapText="1"/>
    </xf>
    <xf numFmtId="164" fontId="9" fillId="7" borderId="1" xfId="0" applyNumberFormat="1" applyFont="1" applyFill="1" applyBorder="1" applyAlignment="1">
      <alignment horizontal="center" wrapText="1"/>
    </xf>
    <xf numFmtId="164" fontId="9" fillId="8" borderId="1" xfId="0" applyNumberFormat="1" applyFont="1" applyFill="1" applyBorder="1" applyAlignment="1">
      <alignment horizontal="center" wrapText="1"/>
    </xf>
    <xf numFmtId="164" fontId="9" fillId="6" borderId="1" xfId="0" applyNumberFormat="1" applyFont="1" applyFill="1" applyBorder="1" applyAlignment="1">
      <alignment horizontal="center" wrapText="1"/>
    </xf>
    <xf numFmtId="164" fontId="12" fillId="4" borderId="1" xfId="0" applyNumberFormat="1" applyFont="1" applyFill="1" applyBorder="1" applyAlignment="1">
      <alignment horizontal="center" wrapText="1"/>
    </xf>
    <xf numFmtId="0" fontId="12" fillId="4" borderId="1" xfId="0" applyFont="1" applyFill="1" applyBorder="1" applyAlignment="1">
      <alignment horizontal="center"/>
    </xf>
    <xf numFmtId="164" fontId="2" fillId="13" borderId="1" xfId="0" applyNumberFormat="1" applyFont="1" applyFill="1" applyBorder="1" applyAlignment="1">
      <alignment horizontal="left"/>
    </xf>
    <xf numFmtId="0" fontId="2" fillId="13" borderId="1" xfId="0" applyFont="1" applyFill="1" applyBorder="1" applyAlignment="1">
      <alignment horizontal="center"/>
    </xf>
    <xf numFmtId="0" fontId="0" fillId="0" borderId="18" xfId="0" applyBorder="1" applyAlignment="1">
      <alignment horizontal="center"/>
    </xf>
    <xf numFmtId="0" fontId="0" fillId="0" borderId="0" xfId="0" applyAlignment="1">
      <alignment horizontal="center"/>
    </xf>
    <xf numFmtId="0" fontId="6" fillId="2" borderId="1" xfId="0" applyFont="1" applyFill="1" applyBorder="1" applyAlignment="1">
      <alignment horizontal="center" vertical="center" wrapText="1"/>
    </xf>
    <xf numFmtId="0" fontId="0" fillId="0" borderId="2" xfId="0" applyBorder="1"/>
    <xf numFmtId="0" fontId="11" fillId="4" borderId="11" xfId="0" applyFont="1" applyFill="1" applyBorder="1" applyAlignment="1">
      <alignment horizontal="center" wrapText="1"/>
    </xf>
    <xf numFmtId="0" fontId="11" fillId="4" borderId="12" xfId="0" applyFont="1" applyFill="1" applyBorder="1" applyAlignment="1">
      <alignment horizontal="center" wrapText="1"/>
    </xf>
    <xf numFmtId="164" fontId="2" fillId="0" borderId="2" xfId="0" applyNumberFormat="1" applyFont="1" applyBorder="1" applyAlignment="1">
      <alignment horizontal="center" wrapText="1"/>
    </xf>
    <xf numFmtId="0" fontId="5" fillId="11" borderId="20" xfId="0" applyFont="1" applyFill="1" applyBorder="1" applyAlignment="1">
      <alignment horizontal="center" vertical="center" wrapText="1"/>
    </xf>
    <xf numFmtId="0" fontId="11" fillId="4" borderId="10" xfId="0" applyFont="1" applyFill="1" applyBorder="1" applyAlignment="1">
      <alignment horizontal="center" wrapText="1"/>
    </xf>
  </cellXfs>
  <cellStyles count="1">
    <cellStyle name="Normal" xfId="0" builtinId="0"/>
  </cellStyles>
  <dxfs count="32">
    <dxf>
      <font>
        <strike val="0"/>
        <outline val="0"/>
        <shadow val="0"/>
        <vertAlign val="baseline"/>
        <sz val="10"/>
        <name val="Carlito"/>
      </font>
    </dxf>
    <dxf>
      <font>
        <strike val="0"/>
        <outline val="0"/>
        <shadow val="0"/>
        <vertAlign val="baseline"/>
        <sz val="10"/>
        <name val="Carlito"/>
      </font>
    </dxf>
    <dxf>
      <font>
        <strike val="0"/>
        <outline val="0"/>
        <shadow val="0"/>
        <vertAlign val="baseline"/>
        <sz val="10"/>
        <name val="Carlito"/>
      </font>
    </dxf>
    <dxf>
      <font>
        <strike val="0"/>
        <outline val="0"/>
        <shadow val="0"/>
        <vertAlign val="baseline"/>
        <sz val="10"/>
        <name val="Carlito"/>
      </font>
    </dxf>
    <dxf>
      <font>
        <strike val="0"/>
        <outline val="0"/>
        <shadow val="0"/>
        <vertAlign val="baseline"/>
        <sz val="10"/>
        <name val="Carlito"/>
      </font>
    </dxf>
    <dxf>
      <font>
        <strike val="0"/>
        <outline val="0"/>
        <shadow val="0"/>
        <vertAlign val="baseline"/>
        <sz val="9"/>
        <name val="Carlito"/>
      </font>
      <alignment horizont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9"/>
        <name val="Carlito"/>
      </font>
      <alignment horizont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9"/>
        <name val="Carlito"/>
      </font>
      <alignment horizont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9"/>
        <name val="Carlito"/>
      </font>
      <alignment horizont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9"/>
        <name val="Carlito"/>
      </font>
      <alignment horizont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9"/>
        <name val="Carlito"/>
      </font>
      <alignment horizontal="center" vertical="bottom"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9"/>
        <name val="Carlito"/>
      </font>
      <alignment horizontal="center"/>
    </dxf>
    <dxf>
      <font>
        <strike val="0"/>
        <outline val="0"/>
        <shadow val="0"/>
        <vertAlign val="baseline"/>
        <sz val="9"/>
        <name val="Carlito"/>
      </font>
      <alignment horizontal="center"/>
    </dxf>
    <dxf>
      <font>
        <strike val="0"/>
        <outline val="0"/>
        <shadow val="0"/>
        <vertAlign val="baseline"/>
        <sz val="9"/>
        <name val="Carlito"/>
      </font>
      <alignment horizontal="center"/>
    </dxf>
    <dxf>
      <font>
        <strike val="0"/>
        <outline val="0"/>
        <shadow val="0"/>
        <vertAlign val="baseline"/>
        <sz val="9"/>
        <name val="Carlito"/>
      </font>
      <alignment horizontal="center"/>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9"/>
        <name val="Carlito"/>
      </font>
      <alignment horizontal="center" vertical="bottom"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9"/>
        <name val="Carlito"/>
      </font>
      <alignment horizont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9"/>
        <name val="Carlito"/>
      </font>
      <alignment horizont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9"/>
        <name val="Carlito"/>
      </font>
      <alignment horizont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9"/>
        <name val="Carlito"/>
      </font>
      <alignment horizontal="center" vertical="bottom" wrapText="1"/>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9"/>
        <name val="Carlito"/>
      </font>
      <alignment horizontal="center"/>
    </dxf>
    <dxf>
      <font>
        <strike val="0"/>
        <outline val="0"/>
        <shadow val="0"/>
        <vertAlign val="baseline"/>
        <sz val="9"/>
        <name val="Carlito"/>
      </font>
      <alignment horizontal="center"/>
    </dxf>
    <dxf>
      <font>
        <strike val="0"/>
        <outline val="0"/>
        <shadow val="0"/>
        <vertAlign val="baseline"/>
        <sz val="9"/>
        <name val="Carlito"/>
      </font>
      <alignment horizontal="center"/>
    </dxf>
    <dxf>
      <font>
        <strike val="0"/>
        <outline val="0"/>
        <shadow val="0"/>
        <vertAlign val="baseline"/>
        <sz val="9"/>
        <name val="Carlito"/>
      </font>
      <alignment horizontal="center"/>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9"/>
        <name val="Carlito"/>
      </font>
      <alignment horizontal="center" vertical="bottom" textRotation="0" wrapText="1" indent="0" justifyLastLine="0" shrinkToFit="0" readingOrder="0"/>
      <border diagonalUp="0" diagonalDown="0">
        <left style="thin">
          <color auto="1"/>
        </left>
        <right style="thin">
          <color auto="1"/>
        </right>
        <top style="medium">
          <color indexed="64"/>
        </top>
        <bottom style="thin">
          <color auto="1"/>
        </bottom>
        <vertical/>
        <horizontal/>
      </border>
    </dxf>
    <dxf>
      <font>
        <strike val="0"/>
        <outline val="0"/>
        <shadow val="0"/>
        <vertAlign val="baseline"/>
        <sz val="9"/>
        <name val="Carlito"/>
      </font>
      <alignment horizontal="center" vertical="bottom" textRotation="0" wrapText="1" indent="0" justifyLastLine="0" shrinkToFit="0" readingOrder="0"/>
      <border diagonalUp="0" diagonalDown="0">
        <left style="thin">
          <color auto="1"/>
        </left>
        <right style="thin">
          <color auto="1"/>
        </right>
        <top style="medium">
          <color indexed="64"/>
        </top>
        <bottom style="thin">
          <color auto="1"/>
        </bottom>
        <vertical/>
        <horizontal/>
      </border>
    </dxf>
    <dxf>
      <font>
        <strike val="0"/>
        <outline val="0"/>
        <shadow val="0"/>
        <vertAlign val="baseline"/>
        <sz val="9"/>
        <name val="Carlito"/>
      </font>
      <alignment horizontal="center" vertical="bottom" textRotation="0" wrapText="1" indent="0" justifyLastLine="0" shrinkToFit="0" readingOrder="0"/>
      <border diagonalUp="0" diagonalDown="0">
        <left style="thin">
          <color auto="1"/>
        </left>
        <right style="thin">
          <color auto="1"/>
        </right>
        <top style="medium">
          <color indexed="64"/>
        </top>
        <bottom style="thin">
          <color auto="1"/>
        </bottom>
        <vertical/>
        <horizontal/>
      </border>
    </dxf>
    <dxf>
      <font>
        <strike val="0"/>
        <outline val="0"/>
        <shadow val="0"/>
        <vertAlign val="baseline"/>
        <sz val="9"/>
        <name val="Carlito"/>
      </font>
      <alignment horizontal="center" vertical="bottom" textRotation="0" wrapText="1" indent="0" justifyLastLine="0" shrinkToFit="0" readingOrder="0"/>
      <border diagonalUp="0" diagonalDown="0">
        <left style="thin">
          <color auto="1"/>
        </left>
        <right style="thin">
          <color auto="1"/>
        </right>
        <top style="medium">
          <color indexed="64"/>
        </top>
        <bottom style="thin">
          <color auto="1"/>
        </bottom>
        <vertical/>
        <horizontal/>
      </border>
    </dxf>
    <dxf>
      <font>
        <strike val="0"/>
        <outline val="0"/>
        <shadow val="0"/>
        <vertAlign val="baseline"/>
        <sz val="9"/>
        <name val="Carlito"/>
      </font>
      <alignment horizontal="center" vertical="bottom" textRotation="0" wrapText="1" indent="0" justifyLastLine="0" shrinkToFit="0" readingOrder="0"/>
      <border diagonalUp="0" diagonalDown="0">
        <left style="thin">
          <color auto="1"/>
        </left>
        <right style="thin">
          <color auto="1"/>
        </right>
        <top style="medium">
          <color indexed="64"/>
        </top>
        <bottom style="thin">
          <color auto="1"/>
        </bottom>
        <vertical/>
        <horizontal/>
      </border>
    </dxf>
    <dxf>
      <font>
        <strike val="0"/>
        <outline val="0"/>
        <shadow val="0"/>
        <vertAlign val="baseline"/>
        <sz val="9"/>
        <name val="Carlito"/>
      </font>
      <alignment horizontal="center"/>
    </dxf>
    <dxf>
      <font>
        <strike val="0"/>
        <outline val="0"/>
        <shadow val="0"/>
        <vertAlign val="baseline"/>
        <sz val="9"/>
        <name val="Carlito"/>
      </font>
      <alignment horizontal="center"/>
    </dxf>
    <dxf>
      <font>
        <strike val="0"/>
        <outline val="0"/>
        <shadow val="0"/>
        <vertAlign val="baseline"/>
        <sz val="9"/>
        <name val="Carlito"/>
      </font>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tx1"/>
                </a:solidFill>
                <a:latin typeface="+mn-lt"/>
                <a:ea typeface="+mn-ea"/>
                <a:cs typeface="+mn-cs"/>
              </a:defRPr>
            </a:pPr>
            <a:r>
              <a:rPr lang="en-US">
                <a:solidFill>
                  <a:schemeClr val="tx1"/>
                </a:solidFill>
              </a:rPr>
              <a:t>Viola (Arco) — IOWA Collection (pp)
Combined Density Metric by Note</a:t>
            </a:r>
          </a:p>
        </c:rich>
      </c:tx>
      <c:overlay val="0"/>
      <c:spPr>
        <a:noFill/>
        <a:ln>
          <a:noFill/>
          <a:prstDash val="solid"/>
        </a:ln>
      </c:spPr>
    </c:title>
    <c:autoTitleDeleted val="0"/>
    <c:plotArea>
      <c:layout/>
      <c:lineChart>
        <c:grouping val="standard"/>
        <c:varyColors val="0"/>
        <c:ser>
          <c:idx val="0"/>
          <c:order val="0"/>
          <c:tx>
            <c:v>CDM (pp)</c:v>
          </c:tx>
          <c:spPr>
            <a:ln w="22225" cap="rnd">
              <a:solidFill>
                <a:schemeClr val="accent1"/>
              </a:solidFill>
              <a:prstDash val="solid"/>
            </a:ln>
          </c:spPr>
          <c:marker>
            <c:symbol val="none"/>
          </c:marker>
          <c:cat>
            <c:strRef>
              <c:f>VIOLA_IOWA_pp!$G$2:$G$22</c:f>
              <c:strCache>
                <c:ptCount val="21"/>
                <c:pt idx="0">
                  <c:v>C5</c:v>
                </c:pt>
                <c:pt idx="1">
                  <c:v>Db5</c:v>
                </c:pt>
                <c:pt idx="2">
                  <c:v>D5</c:v>
                </c:pt>
                <c:pt idx="3">
                  <c:v>Eb5</c:v>
                </c:pt>
                <c:pt idx="4">
                  <c:v>E5</c:v>
                </c:pt>
                <c:pt idx="5">
                  <c:v>F5</c:v>
                </c:pt>
                <c:pt idx="6">
                  <c:v>Gb5</c:v>
                </c:pt>
                <c:pt idx="7">
                  <c:v>G5</c:v>
                </c:pt>
                <c:pt idx="8">
                  <c:v>Ab5</c:v>
                </c:pt>
                <c:pt idx="9">
                  <c:v>A5</c:v>
                </c:pt>
                <c:pt idx="10">
                  <c:v>Bb5</c:v>
                </c:pt>
                <c:pt idx="11">
                  <c:v>B5</c:v>
                </c:pt>
                <c:pt idx="12">
                  <c:v>C6</c:v>
                </c:pt>
                <c:pt idx="13">
                  <c:v>Db6</c:v>
                </c:pt>
                <c:pt idx="14">
                  <c:v>D6</c:v>
                </c:pt>
                <c:pt idx="15">
                  <c:v>Eb6</c:v>
                </c:pt>
                <c:pt idx="16">
                  <c:v>E6</c:v>
                </c:pt>
                <c:pt idx="17">
                  <c:v>F6</c:v>
                </c:pt>
                <c:pt idx="18">
                  <c:v>Gb6</c:v>
                </c:pt>
                <c:pt idx="19">
                  <c:v>G6</c:v>
                </c:pt>
                <c:pt idx="20">
                  <c:v>Ab6</c:v>
                </c:pt>
              </c:strCache>
            </c:strRef>
          </c:cat>
          <c:val>
            <c:numRef>
              <c:f>VIOLA_IOWA_pp!$H$2:$H$22</c:f>
              <c:numCache>
                <c:formatCode>0.000000</c:formatCode>
                <c:ptCount val="21"/>
                <c:pt idx="0">
                  <c:v>16.876076135372639</c:v>
                </c:pt>
                <c:pt idx="1">
                  <c:v>15.847196834589081</c:v>
                </c:pt>
                <c:pt idx="2">
                  <c:v>15.658505295300779</c:v>
                </c:pt>
                <c:pt idx="3">
                  <c:v>17.079848612595288</c:v>
                </c:pt>
                <c:pt idx="4">
                  <c:v>16.051710644063849</c:v>
                </c:pt>
                <c:pt idx="5">
                  <c:v>16.15252187636607</c:v>
                </c:pt>
                <c:pt idx="6">
                  <c:v>12.6470306347739</c:v>
                </c:pt>
                <c:pt idx="7">
                  <c:v>14.204242118607549</c:v>
                </c:pt>
                <c:pt idx="8">
                  <c:v>13.83704161393217</c:v>
                </c:pt>
                <c:pt idx="9">
                  <c:v>14.221466992242391</c:v>
                </c:pt>
                <c:pt idx="10">
                  <c:v>14.485140757541229</c:v>
                </c:pt>
                <c:pt idx="11">
                  <c:v>15.46551834188435</c:v>
                </c:pt>
                <c:pt idx="12">
                  <c:v>14.30620220363423</c:v>
                </c:pt>
                <c:pt idx="13">
                  <c:v>14.07993894494482</c:v>
                </c:pt>
                <c:pt idx="14">
                  <c:v>14.28394214336506</c:v>
                </c:pt>
                <c:pt idx="15">
                  <c:v>11.651987691910641</c:v>
                </c:pt>
                <c:pt idx="16">
                  <c:v>11.88660038468584</c:v>
                </c:pt>
                <c:pt idx="17">
                  <c:v>9.1579532988958672</c:v>
                </c:pt>
                <c:pt idx="18">
                  <c:v>9.1493095751302125</c:v>
                </c:pt>
                <c:pt idx="19">
                  <c:v>9.5562564593110864</c:v>
                </c:pt>
                <c:pt idx="20">
                  <c:v>9.3415390502220284</c:v>
                </c:pt>
              </c:numCache>
            </c:numRef>
          </c:val>
          <c:smooth val="0"/>
          <c:extLst>
            <c:ext xmlns:c16="http://schemas.microsoft.com/office/drawing/2014/chart" uri="{C3380CC4-5D6E-409C-BE32-E72D297353CC}">
              <c16:uniqueId val="{00000000-2299-48A8-82BC-C644F5471FE7}"/>
            </c:ext>
          </c:extLst>
        </c:ser>
        <c:dLbls>
          <c:showLegendKey val="0"/>
          <c:showVal val="0"/>
          <c:showCatName val="0"/>
          <c:showSerName val="0"/>
          <c:showPercent val="0"/>
          <c:showBubbleSize val="0"/>
        </c:dLbls>
        <c:smooth val="0"/>
        <c:axId val="1367569151"/>
        <c:axId val="1367571071"/>
      </c:lineChart>
      <c:catAx>
        <c:axId val="13675691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title>
          <c:tx>
            <c:rich>
              <a:bodyPr rot="0" spcFirstLastPara="1" vertOverflow="ellipsis" vert="horz" wrap="square" anchor="ctr" anchorCtr="1"/>
              <a:lstStyle/>
              <a:p>
                <a:pPr>
                  <a:defRPr sz="900" b="1" i="0" strike="noStrike" kern="1200" baseline="0">
                    <a:solidFill>
                      <a:schemeClr val="tx1"/>
                    </a:solidFill>
                    <a:latin typeface="+mn-lt"/>
                    <a:ea typeface="+mn-ea"/>
                    <a:cs typeface="+mn-cs"/>
                  </a:defRPr>
                </a:pPr>
                <a:r>
                  <a:rPr lang="pt-PT">
                    <a:solidFill>
                      <a:schemeClr val="tx1"/>
                    </a:solidFill>
                  </a:rPr>
                  <a:t>Note (chromatic scale)</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pt-PT"/>
          </a:p>
        </c:txPr>
        <c:crossAx val="1367571071"/>
        <c:crosses val="autoZero"/>
        <c:auto val="1"/>
        <c:lblAlgn val="ctr"/>
        <c:lblOffset val="100"/>
        <c:noMultiLvlLbl val="0"/>
      </c:catAx>
      <c:valAx>
        <c:axId val="13675710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title>
          <c:tx>
            <c:rich>
              <a:bodyPr rot="-5400000" spcFirstLastPara="1" vertOverflow="ellipsis" vert="horz" wrap="square" anchor="ctr" anchorCtr="1"/>
              <a:lstStyle/>
              <a:p>
                <a:pPr>
                  <a:defRPr sz="900" b="1" i="0" strike="noStrike" kern="1200" baseline="0">
                    <a:solidFill>
                      <a:schemeClr val="tx1"/>
                    </a:solidFill>
                    <a:latin typeface="+mn-lt"/>
                    <a:ea typeface="+mn-ea"/>
                    <a:cs typeface="+mn-cs"/>
                  </a:defRPr>
                </a:pPr>
                <a:r>
                  <a:rPr lang="pt-PT">
                    <a:solidFill>
                      <a:schemeClr val="tx1"/>
                    </a:solidFill>
                  </a:rPr>
                  <a:t>Combined Density Metric (CDM)</a:t>
                </a:r>
              </a:p>
            </c:rich>
          </c:tx>
          <c:overlay val="0"/>
          <c:spPr>
            <a:noFill/>
            <a:ln>
              <a:noFill/>
              <a:prstDash val="solid"/>
            </a:ln>
          </c:spPr>
        </c:title>
        <c:numFmt formatCode="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pt-PT"/>
          </a:p>
        </c:txPr>
        <c:crossAx val="1367569151"/>
        <c:crosses val="autoZero"/>
        <c:crossBetween val="between"/>
      </c:valAx>
    </c:plotArea>
    <c:plotVisOnly val="1"/>
    <c:dispBlanksAs val="gap"/>
    <c:showDLblsOverMax val="1"/>
  </c:chart>
  <c:spPr>
    <a:solidFill>
      <a:schemeClr val="bg2">
        <a:lumMod val="90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tx1"/>
                </a:solidFill>
                <a:latin typeface="+mn-lt"/>
                <a:ea typeface="+mn-ea"/>
                <a:cs typeface="+mn-cs"/>
              </a:defRPr>
            </a:pPr>
            <a:r>
              <a:rPr lang="en-US">
                <a:solidFill>
                  <a:schemeClr val="tx1"/>
                </a:solidFill>
              </a:rPr>
              <a:t>Viola (Arco) — IOWA Collection (mf)
Combined Density Metric by Note</a:t>
            </a:r>
          </a:p>
        </c:rich>
      </c:tx>
      <c:overlay val="0"/>
      <c:spPr>
        <a:noFill/>
        <a:ln>
          <a:noFill/>
          <a:prstDash val="solid"/>
        </a:ln>
      </c:spPr>
    </c:title>
    <c:autoTitleDeleted val="0"/>
    <c:plotArea>
      <c:layout>
        <c:manualLayout>
          <c:layoutTarget val="inner"/>
          <c:xMode val="edge"/>
          <c:yMode val="edge"/>
          <c:x val="6.070910815952367E-2"/>
          <c:y val="0.14488716956802061"/>
          <c:w val="0.92552583834545832"/>
          <c:h val="0.74890185148519883"/>
        </c:manualLayout>
      </c:layout>
      <c:lineChart>
        <c:grouping val="standard"/>
        <c:varyColors val="0"/>
        <c:ser>
          <c:idx val="0"/>
          <c:order val="0"/>
          <c:spPr>
            <a:ln w="22225" cap="rnd">
              <a:solidFill>
                <a:schemeClr val="accent1"/>
              </a:solidFill>
              <a:prstDash val="solid"/>
            </a:ln>
          </c:spPr>
          <c:val>
            <c:numRef>
              <c:f>VIOLA__IOWA_mf!$H$2:$H$22</c:f>
              <c:numCache>
                <c:formatCode>0.000000</c:formatCode>
                <c:ptCount val="21"/>
                <c:pt idx="0">
                  <c:v>18.562339625761862</c:v>
                </c:pt>
                <c:pt idx="1">
                  <c:v>17.172174519343649</c:v>
                </c:pt>
                <c:pt idx="2">
                  <c:v>18.624395287964528</c:v>
                </c:pt>
                <c:pt idx="3">
                  <c:v>16.75551266620591</c:v>
                </c:pt>
                <c:pt idx="4">
                  <c:v>15.251032910966069</c:v>
                </c:pt>
                <c:pt idx="5">
                  <c:v>16.561548332273109</c:v>
                </c:pt>
                <c:pt idx="6">
                  <c:v>14.62034704878482</c:v>
                </c:pt>
                <c:pt idx="7">
                  <c:v>14.307194461206921</c:v>
                </c:pt>
                <c:pt idx="8">
                  <c:v>13.63322441414557</c:v>
                </c:pt>
                <c:pt idx="9">
                  <c:v>13.324422069759001</c:v>
                </c:pt>
                <c:pt idx="10">
                  <c:v>14.065055009973371</c:v>
                </c:pt>
                <c:pt idx="11">
                  <c:v>14.25266923691721</c:v>
                </c:pt>
                <c:pt idx="12">
                  <c:v>14.33164555027605</c:v>
                </c:pt>
                <c:pt idx="13">
                  <c:v>13.34601891323239</c:v>
                </c:pt>
                <c:pt idx="14">
                  <c:v>12.251667797507089</c:v>
                </c:pt>
                <c:pt idx="15">
                  <c:v>12.164342629398289</c:v>
                </c:pt>
                <c:pt idx="16">
                  <c:v>11.78487608718649</c:v>
                </c:pt>
                <c:pt idx="17">
                  <c:v>9.2695663853529844</c:v>
                </c:pt>
                <c:pt idx="18">
                  <c:v>8.7246598523177923</c:v>
                </c:pt>
                <c:pt idx="19">
                  <c:v>8.6263499721471959</c:v>
                </c:pt>
                <c:pt idx="20">
                  <c:v>7.8335905919259137</c:v>
                </c:pt>
              </c:numCache>
            </c:numRef>
          </c:val>
          <c:smooth val="0"/>
          <c:extLst>
            <c:ext xmlns:c16="http://schemas.microsoft.com/office/drawing/2014/chart" uri="{C3380CC4-5D6E-409C-BE32-E72D297353CC}">
              <c16:uniqueId val="{00000000-C61E-4C2D-9C39-65936DA75285}"/>
            </c:ext>
          </c:extLst>
        </c:ser>
        <c:dLbls>
          <c:showLegendKey val="0"/>
          <c:showVal val="0"/>
          <c:showCatName val="0"/>
          <c:showSerName val="0"/>
          <c:showPercent val="0"/>
          <c:showBubbleSize val="0"/>
        </c:dLbls>
        <c:marker val="1"/>
        <c:smooth val="0"/>
        <c:axId val="1367569151"/>
        <c:axId val="1367571071"/>
      </c:lineChart>
      <c:catAx>
        <c:axId val="13675691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title>
          <c:tx>
            <c:rich>
              <a:bodyPr rot="0" spcFirstLastPara="1" vertOverflow="ellipsis" vert="horz" wrap="square" anchor="ctr" anchorCtr="1"/>
              <a:lstStyle/>
              <a:p>
                <a:pPr>
                  <a:defRPr sz="900" b="1" i="0" strike="noStrike" kern="1200" baseline="0">
                    <a:solidFill>
                      <a:schemeClr val="tx1"/>
                    </a:solidFill>
                    <a:latin typeface="+mn-lt"/>
                    <a:ea typeface="+mn-ea"/>
                    <a:cs typeface="+mn-cs"/>
                  </a:defRPr>
                </a:pPr>
                <a:r>
                  <a:rPr lang="pt-PT">
                    <a:solidFill>
                      <a:schemeClr val="tx1"/>
                    </a:solidFill>
                  </a:rPr>
                  <a:t>Note (chromatic scale)</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pt-PT"/>
          </a:p>
        </c:txPr>
        <c:crossAx val="1367571071"/>
        <c:crosses val="autoZero"/>
        <c:auto val="1"/>
        <c:lblAlgn val="ctr"/>
        <c:lblOffset val="100"/>
        <c:noMultiLvlLbl val="0"/>
      </c:catAx>
      <c:valAx>
        <c:axId val="13675710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title>
          <c:tx>
            <c:rich>
              <a:bodyPr rot="-5400000" spcFirstLastPara="1" vertOverflow="ellipsis" vert="horz" wrap="square" anchor="ctr" anchorCtr="1"/>
              <a:lstStyle/>
              <a:p>
                <a:pPr>
                  <a:defRPr sz="900" b="1" i="0" strike="noStrike" kern="1200" baseline="0">
                    <a:solidFill>
                      <a:schemeClr val="tx1"/>
                    </a:solidFill>
                    <a:latin typeface="+mn-lt"/>
                    <a:ea typeface="+mn-ea"/>
                    <a:cs typeface="+mn-cs"/>
                  </a:defRPr>
                </a:pPr>
                <a:r>
                  <a:rPr lang="pt-PT">
                    <a:solidFill>
                      <a:schemeClr val="tx1"/>
                    </a:solidFill>
                  </a:rPr>
                  <a:t>Combined Density Metric (CDM)</a:t>
                </a:r>
              </a:p>
            </c:rich>
          </c:tx>
          <c:overlay val="0"/>
          <c:spPr>
            <a:noFill/>
            <a:ln>
              <a:noFill/>
              <a:prstDash val="solid"/>
            </a:ln>
          </c:spPr>
        </c:title>
        <c:numFmt formatCode="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pt-PT"/>
          </a:p>
        </c:txPr>
        <c:crossAx val="1367569151"/>
        <c:crosses val="autoZero"/>
        <c:crossBetween val="between"/>
      </c:valAx>
    </c:plotArea>
    <c:plotVisOnly val="1"/>
    <c:dispBlanksAs val="gap"/>
    <c:showDLblsOverMax val="1"/>
  </c:chart>
  <c:spPr>
    <a:solidFill>
      <a:schemeClr val="bg2">
        <a:lumMod val="90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tx1"/>
                </a:solidFill>
                <a:latin typeface="+mn-lt"/>
                <a:ea typeface="+mn-ea"/>
                <a:cs typeface="+mn-cs"/>
              </a:defRPr>
            </a:pPr>
            <a:r>
              <a:rPr lang="en-US">
                <a:solidFill>
                  <a:schemeClr val="tx1"/>
                </a:solidFill>
              </a:rPr>
              <a:t>Viola (Arco) — IOWA Collection (ff)
Combined Density Metric by Note</a:t>
            </a:r>
          </a:p>
        </c:rich>
      </c:tx>
      <c:overlay val="0"/>
      <c:spPr>
        <a:noFill/>
        <a:ln>
          <a:noFill/>
          <a:prstDash val="solid"/>
        </a:ln>
      </c:spPr>
    </c:title>
    <c:autoTitleDeleted val="0"/>
    <c:plotArea>
      <c:layout>
        <c:manualLayout>
          <c:layoutTarget val="inner"/>
          <c:xMode val="edge"/>
          <c:yMode val="edge"/>
          <c:x val="6.070910815952367E-2"/>
          <c:y val="0.14488716956802061"/>
          <c:w val="0.92552583834545832"/>
          <c:h val="0.74890185148519883"/>
        </c:manualLayout>
      </c:layout>
      <c:lineChart>
        <c:grouping val="standard"/>
        <c:varyColors val="0"/>
        <c:ser>
          <c:idx val="0"/>
          <c:order val="0"/>
          <c:spPr>
            <a:ln w="22225" cap="rnd">
              <a:solidFill>
                <a:schemeClr val="accent1"/>
              </a:solidFill>
              <a:prstDash val="solid"/>
            </a:ln>
          </c:spPr>
          <c:marker>
            <c:symbol val="none"/>
          </c:marker>
          <c:val>
            <c:numRef>
              <c:f>VIOLA_IOWA_ff!$H$2:$H$24</c:f>
              <c:numCache>
                <c:formatCode>0.000000</c:formatCode>
                <c:ptCount val="23"/>
                <c:pt idx="0">
                  <c:v>18.075050486304541</c:v>
                </c:pt>
                <c:pt idx="1">
                  <c:v>18.648787733399551</c:v>
                </c:pt>
                <c:pt idx="2">
                  <c:v>19.83188648745843</c:v>
                </c:pt>
                <c:pt idx="3">
                  <c:v>17.457204330941298</c:v>
                </c:pt>
                <c:pt idx="4">
                  <c:v>14.97764632540818</c:v>
                </c:pt>
                <c:pt idx="5">
                  <c:v>16.77664123550533</c:v>
                </c:pt>
                <c:pt idx="6">
                  <c:v>15.46619999264456</c:v>
                </c:pt>
                <c:pt idx="7">
                  <c:v>14.477360058962001</c:v>
                </c:pt>
                <c:pt idx="8">
                  <c:v>16.053308412098019</c:v>
                </c:pt>
                <c:pt idx="9">
                  <c:v>13.94932375176454</c:v>
                </c:pt>
                <c:pt idx="10">
                  <c:v>15.17808113277666</c:v>
                </c:pt>
                <c:pt idx="11">
                  <c:v>14.130975616705371</c:v>
                </c:pt>
                <c:pt idx="12">
                  <c:v>13.308912577564911</c:v>
                </c:pt>
                <c:pt idx="13">
                  <c:v>11.47237342923837</c:v>
                </c:pt>
                <c:pt idx="14">
                  <c:v>12.934513759726769</c:v>
                </c:pt>
                <c:pt idx="15">
                  <c:v>14.36801219488558</c:v>
                </c:pt>
                <c:pt idx="16">
                  <c:v>15.64765853618095</c:v>
                </c:pt>
                <c:pt idx="17">
                  <c:v>10.205784921689</c:v>
                </c:pt>
                <c:pt idx="18">
                  <c:v>11.19017753901146</c:v>
                </c:pt>
                <c:pt idx="19">
                  <c:v>10.296213709077881</c:v>
                </c:pt>
                <c:pt idx="20">
                  <c:v>10.22360048336494</c:v>
                </c:pt>
                <c:pt idx="21">
                  <c:v>7.6658568243161351</c:v>
                </c:pt>
                <c:pt idx="22">
                  <c:v>8.3777706529524494</c:v>
                </c:pt>
              </c:numCache>
            </c:numRef>
          </c:val>
          <c:smooth val="0"/>
          <c:extLst>
            <c:ext xmlns:c16="http://schemas.microsoft.com/office/drawing/2014/chart" uri="{C3380CC4-5D6E-409C-BE32-E72D297353CC}">
              <c16:uniqueId val="{00000000-FC7F-4D6A-8CAE-47970ABE92FF}"/>
            </c:ext>
          </c:extLst>
        </c:ser>
        <c:dLbls>
          <c:showLegendKey val="0"/>
          <c:showVal val="0"/>
          <c:showCatName val="0"/>
          <c:showSerName val="0"/>
          <c:showPercent val="0"/>
          <c:showBubbleSize val="0"/>
        </c:dLbls>
        <c:smooth val="0"/>
        <c:axId val="1367569151"/>
        <c:axId val="1367571071"/>
      </c:lineChart>
      <c:catAx>
        <c:axId val="13675691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title>
          <c:tx>
            <c:rich>
              <a:bodyPr rot="0" spcFirstLastPara="1" vertOverflow="ellipsis" vert="horz" wrap="square" anchor="ctr" anchorCtr="1"/>
              <a:lstStyle/>
              <a:p>
                <a:pPr>
                  <a:defRPr sz="900" b="1" i="0" strike="noStrike" kern="1200" baseline="0">
                    <a:solidFill>
                      <a:schemeClr val="tx1"/>
                    </a:solidFill>
                    <a:latin typeface="+mn-lt"/>
                    <a:ea typeface="+mn-ea"/>
                    <a:cs typeface="+mn-cs"/>
                  </a:defRPr>
                </a:pPr>
                <a:r>
                  <a:rPr lang="pt-PT">
                    <a:solidFill>
                      <a:schemeClr val="tx1"/>
                    </a:solidFill>
                  </a:rPr>
                  <a:t>Note (chromatic scale)</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pt-PT"/>
          </a:p>
        </c:txPr>
        <c:crossAx val="1367571071"/>
        <c:crosses val="autoZero"/>
        <c:auto val="1"/>
        <c:lblAlgn val="ctr"/>
        <c:lblOffset val="100"/>
        <c:noMultiLvlLbl val="0"/>
      </c:catAx>
      <c:valAx>
        <c:axId val="13675710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title>
          <c:tx>
            <c:rich>
              <a:bodyPr rot="-5400000" spcFirstLastPara="1" vertOverflow="ellipsis" vert="horz" wrap="square" anchor="ctr" anchorCtr="1"/>
              <a:lstStyle/>
              <a:p>
                <a:pPr>
                  <a:defRPr sz="900" b="1" i="0" strike="noStrike" kern="1200" baseline="0">
                    <a:solidFill>
                      <a:schemeClr val="tx1"/>
                    </a:solidFill>
                    <a:latin typeface="+mn-lt"/>
                    <a:ea typeface="+mn-ea"/>
                    <a:cs typeface="+mn-cs"/>
                  </a:defRPr>
                </a:pPr>
                <a:r>
                  <a:rPr lang="pt-PT">
                    <a:solidFill>
                      <a:schemeClr val="tx1"/>
                    </a:solidFill>
                  </a:rPr>
                  <a:t>Combined Density Metric (CDM)</a:t>
                </a:r>
              </a:p>
            </c:rich>
          </c:tx>
          <c:overlay val="0"/>
          <c:spPr>
            <a:noFill/>
            <a:ln>
              <a:noFill/>
              <a:prstDash val="solid"/>
            </a:ln>
          </c:spPr>
        </c:title>
        <c:numFmt formatCode="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pt-PT"/>
          </a:p>
        </c:txPr>
        <c:crossAx val="1367569151"/>
        <c:crosses val="autoZero"/>
        <c:crossBetween val="between"/>
      </c:valAx>
    </c:plotArea>
    <c:plotVisOnly val="1"/>
    <c:dispBlanksAs val="gap"/>
    <c:showDLblsOverMax val="1"/>
  </c:chart>
  <c:spPr>
    <a:solidFill>
      <a:schemeClr val="bg2">
        <a:lumMod val="90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tx1"/>
                </a:solidFill>
                <a:latin typeface="+mn-lt"/>
                <a:ea typeface="+mn-ea"/>
                <a:cs typeface="+mn-cs"/>
              </a:defRPr>
            </a:pPr>
            <a:r>
              <a:rPr lang="en-US">
                <a:solidFill>
                  <a:schemeClr val="tx1"/>
                </a:solidFill>
              </a:rPr>
              <a:t>Viola (Arco) — Orchidea</a:t>
            </a:r>
            <a:r>
              <a:rPr lang="en-US" baseline="0">
                <a:solidFill>
                  <a:schemeClr val="tx1"/>
                </a:solidFill>
              </a:rPr>
              <a:t> c</a:t>
            </a:r>
            <a:r>
              <a:rPr lang="en-US">
                <a:solidFill>
                  <a:schemeClr val="tx1"/>
                </a:solidFill>
              </a:rPr>
              <a:t>ollection (pp)
Combined Density Metric by Note</a:t>
            </a:r>
          </a:p>
        </c:rich>
      </c:tx>
      <c:overlay val="0"/>
      <c:spPr>
        <a:noFill/>
        <a:ln>
          <a:noFill/>
          <a:prstDash val="solid"/>
        </a:ln>
      </c:spPr>
    </c:title>
    <c:autoTitleDeleted val="0"/>
    <c:plotArea>
      <c:layout>
        <c:manualLayout>
          <c:layoutTarget val="inner"/>
          <c:xMode val="edge"/>
          <c:yMode val="edge"/>
          <c:x val="6.070910815952367E-2"/>
          <c:y val="0.14488716956802061"/>
          <c:w val="0.92552583834545832"/>
          <c:h val="0.74890185148519883"/>
        </c:manualLayout>
      </c:layout>
      <c:lineChart>
        <c:grouping val="standard"/>
        <c:varyColors val="0"/>
        <c:ser>
          <c:idx val="0"/>
          <c:order val="0"/>
          <c:spPr>
            <a:ln w="22225" cap="rnd">
              <a:solidFill>
                <a:schemeClr val="accent1"/>
              </a:solidFill>
              <a:prstDash val="solid"/>
            </a:ln>
          </c:spPr>
          <c:marker>
            <c:symbol val="none"/>
          </c:marker>
          <c:val>
            <c:numRef>
              <c:f>VIOLA__ORCH_pp!$F$2:$F$37</c:f>
              <c:numCache>
                <c:formatCode>0.000000</c:formatCode>
                <c:ptCount val="36"/>
                <c:pt idx="0">
                  <c:v>18.3280284214642</c:v>
                </c:pt>
                <c:pt idx="1">
                  <c:v>18.44501140892368</c:v>
                </c:pt>
                <c:pt idx="2">
                  <c:v>19.373795923239332</c:v>
                </c:pt>
                <c:pt idx="3">
                  <c:v>20.408163720240541</c:v>
                </c:pt>
                <c:pt idx="4">
                  <c:v>17.35233528639629</c:v>
                </c:pt>
                <c:pt idx="5">
                  <c:v>15.034336101264991</c:v>
                </c:pt>
                <c:pt idx="6">
                  <c:v>11.051761972185041</c:v>
                </c:pt>
                <c:pt idx="7">
                  <c:v>14.04460460132557</c:v>
                </c:pt>
                <c:pt idx="8">
                  <c:v>14.686980057010061</c:v>
                </c:pt>
                <c:pt idx="9">
                  <c:v>13.120151474939989</c:v>
                </c:pt>
                <c:pt idx="10">
                  <c:v>16.74102501036317</c:v>
                </c:pt>
                <c:pt idx="11">
                  <c:v>16.04335425304204</c:v>
                </c:pt>
                <c:pt idx="12">
                  <c:v>14.738392924937189</c:v>
                </c:pt>
                <c:pt idx="13">
                  <c:v>12.71325711597574</c:v>
                </c:pt>
                <c:pt idx="14">
                  <c:v>13.870168695313451</c:v>
                </c:pt>
                <c:pt idx="15">
                  <c:v>15.09832195071801</c:v>
                </c:pt>
                <c:pt idx="16">
                  <c:v>14.521661346279741</c:v>
                </c:pt>
                <c:pt idx="17">
                  <c:v>10.59889291606893</c:v>
                </c:pt>
                <c:pt idx="18">
                  <c:v>11.85248848013107</c:v>
                </c:pt>
                <c:pt idx="19">
                  <c:v>10.361067381368949</c:v>
                </c:pt>
                <c:pt idx="20">
                  <c:v>8.6660712983920298</c:v>
                </c:pt>
                <c:pt idx="21">
                  <c:v>10.590720189592281</c:v>
                </c:pt>
                <c:pt idx="22">
                  <c:v>10.239594013535109</c:v>
                </c:pt>
                <c:pt idx="23">
                  <c:v>8.6545282395782852</c:v>
                </c:pt>
                <c:pt idx="24">
                  <c:v>8.4291896375750976</c:v>
                </c:pt>
                <c:pt idx="25">
                  <c:v>7.0014909999999997</c:v>
                </c:pt>
                <c:pt idx="26">
                  <c:v>6.4046479999999999</c:v>
                </c:pt>
                <c:pt idx="27">
                  <c:v>5.8261289999999999</c:v>
                </c:pt>
                <c:pt idx="28">
                  <c:v>5.2694369999999999</c:v>
                </c:pt>
                <c:pt idx="29">
                  <c:v>4.7376909999999999</c:v>
                </c:pt>
                <c:pt idx="30">
                  <c:v>4.2335719999999997</c:v>
                </c:pt>
                <c:pt idx="31">
                  <c:v>3.7592729999999999</c:v>
                </c:pt>
                <c:pt idx="32">
                  <c:v>3.3164750000000001</c:v>
                </c:pt>
                <c:pt idx="33">
                  <c:v>2.9063289999999999</c:v>
                </c:pt>
                <c:pt idx="34">
                  <c:v>2.5294560000000001</c:v>
                </c:pt>
                <c:pt idx="35">
                  <c:v>2.2617090000000002</c:v>
                </c:pt>
              </c:numCache>
            </c:numRef>
          </c:val>
          <c:smooth val="0"/>
          <c:extLst>
            <c:ext xmlns:c16="http://schemas.microsoft.com/office/drawing/2014/chart" uri="{C3380CC4-5D6E-409C-BE32-E72D297353CC}">
              <c16:uniqueId val="{00000000-C718-4B5E-96EC-6617DB702843}"/>
            </c:ext>
          </c:extLst>
        </c:ser>
        <c:dLbls>
          <c:showLegendKey val="0"/>
          <c:showVal val="0"/>
          <c:showCatName val="0"/>
          <c:showSerName val="0"/>
          <c:showPercent val="0"/>
          <c:showBubbleSize val="0"/>
        </c:dLbls>
        <c:smooth val="0"/>
        <c:axId val="1367569151"/>
        <c:axId val="1367571071"/>
      </c:lineChart>
      <c:catAx>
        <c:axId val="13675691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title>
          <c:tx>
            <c:rich>
              <a:bodyPr rot="0" spcFirstLastPara="1" vertOverflow="ellipsis" vert="horz" wrap="square" anchor="ctr" anchorCtr="1"/>
              <a:lstStyle/>
              <a:p>
                <a:pPr>
                  <a:defRPr sz="900" b="1" i="0" strike="noStrike" kern="1200" baseline="0">
                    <a:solidFill>
                      <a:schemeClr val="tx1"/>
                    </a:solidFill>
                    <a:latin typeface="+mn-lt"/>
                    <a:ea typeface="+mn-ea"/>
                    <a:cs typeface="+mn-cs"/>
                  </a:defRPr>
                </a:pPr>
                <a:r>
                  <a:rPr lang="pt-PT">
                    <a:solidFill>
                      <a:schemeClr val="tx1"/>
                    </a:solidFill>
                  </a:rPr>
                  <a:t>Note (chromatic scale)</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pt-PT"/>
          </a:p>
        </c:txPr>
        <c:crossAx val="1367571071"/>
        <c:crosses val="autoZero"/>
        <c:auto val="1"/>
        <c:lblAlgn val="ctr"/>
        <c:lblOffset val="100"/>
        <c:noMultiLvlLbl val="0"/>
      </c:catAx>
      <c:valAx>
        <c:axId val="13675710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title>
          <c:tx>
            <c:rich>
              <a:bodyPr rot="-5400000" spcFirstLastPara="1" vertOverflow="ellipsis" vert="horz" wrap="square" anchor="ctr" anchorCtr="1"/>
              <a:lstStyle/>
              <a:p>
                <a:pPr>
                  <a:defRPr sz="900" b="1" i="0" strike="noStrike" kern="1200" baseline="0">
                    <a:solidFill>
                      <a:schemeClr val="tx1"/>
                    </a:solidFill>
                    <a:latin typeface="+mn-lt"/>
                    <a:ea typeface="+mn-ea"/>
                    <a:cs typeface="+mn-cs"/>
                  </a:defRPr>
                </a:pPr>
                <a:r>
                  <a:rPr lang="pt-PT">
                    <a:solidFill>
                      <a:schemeClr val="tx1"/>
                    </a:solidFill>
                  </a:rPr>
                  <a:t>Combined Density Metric (CDM)</a:t>
                </a:r>
              </a:p>
            </c:rich>
          </c:tx>
          <c:overlay val="0"/>
          <c:spPr>
            <a:noFill/>
            <a:ln>
              <a:noFill/>
              <a:prstDash val="solid"/>
            </a:ln>
          </c:spPr>
        </c:title>
        <c:numFmt formatCode="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pt-PT"/>
          </a:p>
        </c:txPr>
        <c:crossAx val="1367569151"/>
        <c:crosses val="autoZero"/>
        <c:crossBetween val="between"/>
      </c:valAx>
    </c:plotArea>
    <c:plotVisOnly val="1"/>
    <c:dispBlanksAs val="gap"/>
    <c:showDLblsOverMax val="1"/>
  </c:chart>
  <c:spPr>
    <a:solidFill>
      <a:schemeClr val="bg2">
        <a:lumMod val="90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tx1"/>
                </a:solidFill>
                <a:latin typeface="+mn-lt"/>
                <a:ea typeface="+mn-ea"/>
                <a:cs typeface="+mn-cs"/>
              </a:defRPr>
            </a:pPr>
            <a:r>
              <a:rPr lang="en-US">
                <a:solidFill>
                  <a:schemeClr val="tx1"/>
                </a:solidFill>
              </a:rPr>
              <a:t>Viola (Arco) — Orchidea collection (mf)
Combined Density Metric by Note</a:t>
            </a:r>
          </a:p>
        </c:rich>
      </c:tx>
      <c:overlay val="0"/>
      <c:spPr>
        <a:noFill/>
        <a:ln>
          <a:noFill/>
          <a:prstDash val="solid"/>
        </a:ln>
      </c:spPr>
    </c:title>
    <c:autoTitleDeleted val="0"/>
    <c:plotArea>
      <c:layout>
        <c:manualLayout>
          <c:layoutTarget val="inner"/>
          <c:xMode val="edge"/>
          <c:yMode val="edge"/>
          <c:x val="6.070910815952367E-2"/>
          <c:y val="0.14488716956802061"/>
          <c:w val="0.92552583834545832"/>
          <c:h val="0.74890185148519883"/>
        </c:manualLayout>
      </c:layout>
      <c:lineChart>
        <c:grouping val="standard"/>
        <c:varyColors val="0"/>
        <c:ser>
          <c:idx val="0"/>
          <c:order val="0"/>
          <c:spPr>
            <a:ln w="22225" cap="rnd">
              <a:solidFill>
                <a:schemeClr val="accent1"/>
              </a:solidFill>
              <a:prstDash val="solid"/>
            </a:ln>
          </c:spPr>
          <c:marker>
            <c:symbol val="none"/>
          </c:marker>
          <c:val>
            <c:numRef>
              <c:f>VIOLA__ORCH_mf!$F$2:$F$37</c:f>
              <c:numCache>
                <c:formatCode>0.000000</c:formatCode>
                <c:ptCount val="36"/>
                <c:pt idx="0">
                  <c:v>21.461219417225479</c:v>
                </c:pt>
                <c:pt idx="1">
                  <c:v>18.358405570183791</c:v>
                </c:pt>
                <c:pt idx="2">
                  <c:v>17.50889292053715</c:v>
                </c:pt>
                <c:pt idx="3">
                  <c:v>15.14620468816722</c:v>
                </c:pt>
                <c:pt idx="4">
                  <c:v>12.869643199502431</c:v>
                </c:pt>
                <c:pt idx="5">
                  <c:v>13.46408161052484</c:v>
                </c:pt>
                <c:pt idx="6">
                  <c:v>13.978764685671059</c:v>
                </c:pt>
                <c:pt idx="7">
                  <c:v>17.92292149444237</c:v>
                </c:pt>
                <c:pt idx="8">
                  <c:v>17.8092353960418</c:v>
                </c:pt>
                <c:pt idx="9">
                  <c:v>16.5818952916566</c:v>
                </c:pt>
                <c:pt idx="10">
                  <c:v>16.75665035379814</c:v>
                </c:pt>
                <c:pt idx="11">
                  <c:v>14.61513341495508</c:v>
                </c:pt>
                <c:pt idx="12">
                  <c:v>15.943362469188569</c:v>
                </c:pt>
                <c:pt idx="13">
                  <c:v>15.06528698665246</c:v>
                </c:pt>
                <c:pt idx="14">
                  <c:v>13.707501137130031</c:v>
                </c:pt>
                <c:pt idx="15">
                  <c:v>15.06900974317559</c:v>
                </c:pt>
                <c:pt idx="16">
                  <c:v>15.410340167082859</c:v>
                </c:pt>
                <c:pt idx="17">
                  <c:v>9.375348948351089</c:v>
                </c:pt>
                <c:pt idx="18">
                  <c:v>10.246673249634441</c:v>
                </c:pt>
                <c:pt idx="19">
                  <c:v>9.4618715977962875</c:v>
                </c:pt>
                <c:pt idx="20">
                  <c:v>9.7011942033356373</c:v>
                </c:pt>
                <c:pt idx="21">
                  <c:v>10.292742303539031</c:v>
                </c:pt>
                <c:pt idx="22">
                  <c:v>9.2955515743226176</c:v>
                </c:pt>
                <c:pt idx="23">
                  <c:v>9.3269027051557156</c:v>
                </c:pt>
                <c:pt idx="24">
                  <c:v>6.9084342905250322</c:v>
                </c:pt>
                <c:pt idx="25">
                  <c:v>6.8447114138076079</c:v>
                </c:pt>
                <c:pt idx="26">
                  <c:v>6.8015035368310741</c:v>
                </c:pt>
                <c:pt idx="27">
                  <c:v>7.7843937393149512</c:v>
                </c:pt>
                <c:pt idx="28">
                  <c:v>7.0446472303992271</c:v>
                </c:pt>
                <c:pt idx="29">
                  <c:v>6.1379999247093364</c:v>
                </c:pt>
                <c:pt idx="30">
                  <c:v>5.7991140000000003</c:v>
                </c:pt>
                <c:pt idx="31">
                  <c:v>5.6367526472001437</c:v>
                </c:pt>
                <c:pt idx="32">
                  <c:v>5.5310395525017588</c:v>
                </c:pt>
                <c:pt idx="33">
                  <c:v>4.2554099418289528</c:v>
                </c:pt>
                <c:pt idx="34">
                  <c:v>4.282131342642522</c:v>
                </c:pt>
                <c:pt idx="35">
                  <c:v>4.249494394106998</c:v>
                </c:pt>
              </c:numCache>
            </c:numRef>
          </c:val>
          <c:smooth val="0"/>
          <c:extLst>
            <c:ext xmlns:c16="http://schemas.microsoft.com/office/drawing/2014/chart" uri="{C3380CC4-5D6E-409C-BE32-E72D297353CC}">
              <c16:uniqueId val="{00000000-E564-4386-8383-FDEC35FB20ED}"/>
            </c:ext>
          </c:extLst>
        </c:ser>
        <c:dLbls>
          <c:showLegendKey val="0"/>
          <c:showVal val="0"/>
          <c:showCatName val="0"/>
          <c:showSerName val="0"/>
          <c:showPercent val="0"/>
          <c:showBubbleSize val="0"/>
        </c:dLbls>
        <c:smooth val="0"/>
        <c:axId val="1367569151"/>
        <c:axId val="1367571071"/>
      </c:lineChart>
      <c:catAx>
        <c:axId val="13675691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title>
          <c:tx>
            <c:rich>
              <a:bodyPr rot="0" spcFirstLastPara="1" vertOverflow="ellipsis" vert="horz" wrap="square" anchor="ctr" anchorCtr="1"/>
              <a:lstStyle/>
              <a:p>
                <a:pPr>
                  <a:defRPr sz="900" b="1" i="0" strike="noStrike" kern="1200" baseline="0">
                    <a:solidFill>
                      <a:schemeClr val="tx1"/>
                    </a:solidFill>
                    <a:latin typeface="+mn-lt"/>
                    <a:ea typeface="+mn-ea"/>
                    <a:cs typeface="+mn-cs"/>
                  </a:defRPr>
                </a:pPr>
                <a:r>
                  <a:rPr lang="pt-PT">
                    <a:solidFill>
                      <a:schemeClr val="tx1"/>
                    </a:solidFill>
                  </a:rPr>
                  <a:t>Note (chromatic scale)</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pt-PT"/>
          </a:p>
        </c:txPr>
        <c:crossAx val="1367571071"/>
        <c:crosses val="autoZero"/>
        <c:auto val="1"/>
        <c:lblAlgn val="ctr"/>
        <c:lblOffset val="100"/>
        <c:noMultiLvlLbl val="0"/>
      </c:catAx>
      <c:valAx>
        <c:axId val="13675710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title>
          <c:tx>
            <c:rich>
              <a:bodyPr rot="-5400000" spcFirstLastPara="1" vertOverflow="ellipsis" vert="horz" wrap="square" anchor="ctr" anchorCtr="1"/>
              <a:lstStyle/>
              <a:p>
                <a:pPr>
                  <a:defRPr sz="900" b="1" i="0" strike="noStrike" kern="1200" baseline="0">
                    <a:solidFill>
                      <a:schemeClr val="tx1"/>
                    </a:solidFill>
                    <a:latin typeface="+mn-lt"/>
                    <a:ea typeface="+mn-ea"/>
                    <a:cs typeface="+mn-cs"/>
                  </a:defRPr>
                </a:pPr>
                <a:r>
                  <a:rPr lang="pt-PT">
                    <a:solidFill>
                      <a:schemeClr val="tx1"/>
                    </a:solidFill>
                  </a:rPr>
                  <a:t>Combined Density Metric (CDM)</a:t>
                </a:r>
              </a:p>
            </c:rich>
          </c:tx>
          <c:overlay val="0"/>
          <c:spPr>
            <a:noFill/>
            <a:ln>
              <a:noFill/>
              <a:prstDash val="solid"/>
            </a:ln>
          </c:spPr>
        </c:title>
        <c:numFmt formatCode="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pt-PT"/>
          </a:p>
        </c:txPr>
        <c:crossAx val="1367569151"/>
        <c:crosses val="autoZero"/>
        <c:crossBetween val="between"/>
      </c:valAx>
    </c:plotArea>
    <c:plotVisOnly val="1"/>
    <c:dispBlanksAs val="gap"/>
    <c:showDLblsOverMax val="1"/>
  </c:chart>
  <c:spPr>
    <a:solidFill>
      <a:schemeClr val="bg2">
        <a:lumMod val="90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baseline="0">
                <a:solidFill>
                  <a:schemeClr val="tx1"/>
                </a:solidFill>
                <a:latin typeface="+mn-lt"/>
                <a:ea typeface="+mn-ea"/>
                <a:cs typeface="+mn-cs"/>
              </a:defRPr>
            </a:pPr>
            <a:r>
              <a:rPr lang="en-US">
                <a:solidFill>
                  <a:schemeClr val="tx1"/>
                </a:solidFill>
              </a:rPr>
              <a:t>Viola</a:t>
            </a:r>
            <a:r>
              <a:rPr lang="en-US" baseline="0">
                <a:solidFill>
                  <a:schemeClr val="tx1"/>
                </a:solidFill>
              </a:rPr>
              <a:t> (Arco)</a:t>
            </a:r>
            <a:r>
              <a:rPr lang="en-US">
                <a:solidFill>
                  <a:schemeClr val="tx1"/>
                </a:solidFill>
              </a:rPr>
              <a:t>— Orchidea Collection (ff)
Combined Density Metric by Note</a:t>
            </a:r>
          </a:p>
        </c:rich>
      </c:tx>
      <c:overlay val="0"/>
      <c:spPr>
        <a:noFill/>
        <a:ln>
          <a:noFill/>
          <a:prstDash val="solid"/>
        </a:ln>
      </c:spPr>
    </c:title>
    <c:autoTitleDeleted val="0"/>
    <c:plotArea>
      <c:layout>
        <c:manualLayout>
          <c:layoutTarget val="inner"/>
          <c:xMode val="edge"/>
          <c:yMode val="edge"/>
          <c:x val="6.070910815952367E-2"/>
          <c:y val="0.14488716956802061"/>
          <c:w val="0.92552583834545832"/>
          <c:h val="0.74890185148519883"/>
        </c:manualLayout>
      </c:layout>
      <c:lineChart>
        <c:grouping val="standard"/>
        <c:varyColors val="0"/>
        <c:ser>
          <c:idx val="0"/>
          <c:order val="0"/>
          <c:spPr>
            <a:ln w="22225" cap="rnd">
              <a:solidFill>
                <a:schemeClr val="accent1"/>
              </a:solidFill>
              <a:prstDash val="solid"/>
            </a:ln>
          </c:spPr>
          <c:marker>
            <c:symbol val="none"/>
          </c:marker>
          <c:val>
            <c:numRef>
              <c:f>VIOLA__ORCH_ff!$F$2:$F$37</c:f>
              <c:numCache>
                <c:formatCode>0.000000</c:formatCode>
                <c:ptCount val="36"/>
                <c:pt idx="0">
                  <c:v>18.948740849245429</c:v>
                </c:pt>
                <c:pt idx="1">
                  <c:v>17.368003919209539</c:v>
                </c:pt>
                <c:pt idx="2">
                  <c:v>19.74139435343184</c:v>
                </c:pt>
                <c:pt idx="3">
                  <c:v>18.997535747776851</c:v>
                </c:pt>
                <c:pt idx="4">
                  <c:v>17.146357297649001</c:v>
                </c:pt>
                <c:pt idx="5">
                  <c:v>14.249828417928461</c:v>
                </c:pt>
                <c:pt idx="6">
                  <c:v>11.249884085261231</c:v>
                </c:pt>
                <c:pt idx="7">
                  <c:v>13.932831311267419</c:v>
                </c:pt>
                <c:pt idx="8">
                  <c:v>14.770431820613339</c:v>
                </c:pt>
                <c:pt idx="9">
                  <c:v>12.924435739226411</c:v>
                </c:pt>
                <c:pt idx="10">
                  <c:v>15.506956617536821</c:v>
                </c:pt>
                <c:pt idx="11">
                  <c:v>15.638457745326811</c:v>
                </c:pt>
                <c:pt idx="12">
                  <c:v>16.395767422090461</c:v>
                </c:pt>
                <c:pt idx="13">
                  <c:v>13.749790523154941</c:v>
                </c:pt>
                <c:pt idx="14">
                  <c:v>13.564736055626421</c:v>
                </c:pt>
                <c:pt idx="15">
                  <c:v>12.64585740317532</c:v>
                </c:pt>
                <c:pt idx="16">
                  <c:v>13.64276698324344</c:v>
                </c:pt>
                <c:pt idx="17">
                  <c:v>10.62892761770617</c:v>
                </c:pt>
                <c:pt idx="18">
                  <c:v>12.453282180020119</c:v>
                </c:pt>
                <c:pt idx="19">
                  <c:v>11.0675036037123</c:v>
                </c:pt>
                <c:pt idx="20">
                  <c:v>8.568519787091244</c:v>
                </c:pt>
                <c:pt idx="21">
                  <c:v>11.97032878826381</c:v>
                </c:pt>
                <c:pt idx="22">
                  <c:v>8.6345738431500578</c:v>
                </c:pt>
                <c:pt idx="23">
                  <c:v>8.5773432033645083</c:v>
                </c:pt>
                <c:pt idx="24">
                  <c:v>7.6946931245555827</c:v>
                </c:pt>
                <c:pt idx="25" formatCode="General">
                  <c:v>8.1294240000000002</c:v>
                </c:pt>
                <c:pt idx="26" formatCode="General">
                  <c:v>7.6750389999999999</c:v>
                </c:pt>
                <c:pt idx="27" formatCode="General">
                  <c:v>7.2219540000000002</c:v>
                </c:pt>
                <c:pt idx="28" formatCode="General">
                  <c:v>6.7719719999999999</c:v>
                </c:pt>
                <c:pt idx="29" formatCode="General">
                  <c:v>6.3269590000000004</c:v>
                </c:pt>
                <c:pt idx="30" formatCode="General">
                  <c:v>5.8888049999999996</c:v>
                </c:pt>
                <c:pt idx="31" formatCode="General">
                  <c:v>5.4593980000000002</c:v>
                </c:pt>
                <c:pt idx="32" formatCode="General">
                  <c:v>5.0405829999999998</c:v>
                </c:pt>
                <c:pt idx="33" formatCode="General">
                  <c:v>4.6341289999999997</c:v>
                </c:pt>
                <c:pt idx="34" formatCode="General">
                  <c:v>4.2416989999999997</c:v>
                </c:pt>
                <c:pt idx="35" formatCode="General">
                  <c:v>3.9499849999999999</c:v>
                </c:pt>
              </c:numCache>
            </c:numRef>
          </c:val>
          <c:smooth val="0"/>
          <c:extLst>
            <c:ext xmlns:c16="http://schemas.microsoft.com/office/drawing/2014/chart" uri="{C3380CC4-5D6E-409C-BE32-E72D297353CC}">
              <c16:uniqueId val="{00000000-C850-4DEC-B0B1-113678857E7A}"/>
            </c:ext>
          </c:extLst>
        </c:ser>
        <c:dLbls>
          <c:showLegendKey val="0"/>
          <c:showVal val="0"/>
          <c:showCatName val="0"/>
          <c:showSerName val="0"/>
          <c:showPercent val="0"/>
          <c:showBubbleSize val="0"/>
        </c:dLbls>
        <c:smooth val="0"/>
        <c:axId val="1367569151"/>
        <c:axId val="1367571071"/>
      </c:lineChart>
      <c:catAx>
        <c:axId val="13675691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title>
          <c:tx>
            <c:rich>
              <a:bodyPr rot="0" spcFirstLastPara="1" vertOverflow="ellipsis" vert="horz" wrap="square" anchor="ctr" anchorCtr="1"/>
              <a:lstStyle/>
              <a:p>
                <a:pPr>
                  <a:defRPr sz="900" b="1" i="0" strike="noStrike" kern="1200" baseline="0">
                    <a:solidFill>
                      <a:schemeClr val="tx1"/>
                    </a:solidFill>
                    <a:latin typeface="+mn-lt"/>
                    <a:ea typeface="+mn-ea"/>
                    <a:cs typeface="+mn-cs"/>
                  </a:defRPr>
                </a:pPr>
                <a:r>
                  <a:rPr lang="pt-PT">
                    <a:solidFill>
                      <a:schemeClr val="tx1"/>
                    </a:solidFill>
                  </a:rPr>
                  <a:t>Note (chromatic scale)</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pt-PT"/>
          </a:p>
        </c:txPr>
        <c:crossAx val="1367571071"/>
        <c:crosses val="autoZero"/>
        <c:auto val="1"/>
        <c:lblAlgn val="ctr"/>
        <c:lblOffset val="100"/>
        <c:noMultiLvlLbl val="0"/>
      </c:catAx>
      <c:valAx>
        <c:axId val="13675710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title>
          <c:tx>
            <c:rich>
              <a:bodyPr rot="-5400000" spcFirstLastPara="1" vertOverflow="ellipsis" vert="horz" wrap="square" anchor="ctr" anchorCtr="1"/>
              <a:lstStyle/>
              <a:p>
                <a:pPr>
                  <a:defRPr sz="900" b="1" i="0" strike="noStrike" kern="1200" baseline="0">
                    <a:solidFill>
                      <a:schemeClr val="tx1"/>
                    </a:solidFill>
                    <a:latin typeface="+mn-lt"/>
                    <a:ea typeface="+mn-ea"/>
                    <a:cs typeface="+mn-cs"/>
                  </a:defRPr>
                </a:pPr>
                <a:r>
                  <a:rPr lang="pt-PT">
                    <a:solidFill>
                      <a:schemeClr val="tx1"/>
                    </a:solidFill>
                  </a:rPr>
                  <a:t>Combined Density Metric (CDM)</a:t>
                </a:r>
              </a:p>
            </c:rich>
          </c:tx>
          <c:overlay val="0"/>
          <c:spPr>
            <a:noFill/>
            <a:ln>
              <a:noFill/>
              <a:prstDash val="solid"/>
            </a:ln>
          </c:spPr>
        </c:title>
        <c:numFmt formatCode="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pt-PT"/>
          </a:p>
        </c:txPr>
        <c:crossAx val="1367569151"/>
        <c:crosses val="autoZero"/>
        <c:crossBetween val="between"/>
      </c:valAx>
    </c:plotArea>
    <c:plotVisOnly val="1"/>
    <c:dispBlanksAs val="gap"/>
    <c:showDLblsOverMax val="1"/>
  </c:chart>
  <c:spPr>
    <a:solidFill>
      <a:schemeClr val="bg2">
        <a:lumMod val="90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vert="horz"/>
          <a:lstStyle/>
          <a:p>
            <a:r>
              <a:rPr lang="en-US" sz="1400"/>
              <a:t>Viola (Arco) Density (Media of IOWA + ORCH)
Combined Density Metric by Note &amp; Dynamic Level</a:t>
            </a:r>
          </a:p>
        </c:rich>
      </c:tx>
      <c:layout>
        <c:manualLayout>
          <c:xMode val="edge"/>
          <c:yMode val="edge"/>
          <c:x val="0.30336707911511063"/>
          <c:y val="3.03205377881255E-2"/>
        </c:manualLayout>
      </c:layout>
      <c:overlay val="0"/>
      <c:spPr>
        <a:noFill/>
        <a:ln>
          <a:noFill/>
          <a:prstDash val="solid"/>
        </a:ln>
      </c:spPr>
    </c:title>
    <c:autoTitleDeleted val="0"/>
    <c:plotArea>
      <c:layout>
        <c:manualLayout>
          <c:layoutTarget val="inner"/>
          <c:xMode val="edge"/>
          <c:yMode val="edge"/>
          <c:x val="3.1072066346203481E-2"/>
          <c:y val="0.1274710219364337"/>
          <c:w val="0.96181453026873664"/>
          <c:h val="0.7237227923366838"/>
        </c:manualLayout>
      </c:layout>
      <c:lineChart>
        <c:grouping val="standard"/>
        <c:varyColors val="1"/>
        <c:ser>
          <c:idx val="0"/>
          <c:order val="0"/>
          <c:tx>
            <c:v>Media pp</c:v>
          </c:tx>
          <c:spPr>
            <a:ln w="28575">
              <a:solidFill>
                <a:srgbClr val="2563EB"/>
              </a:solidFill>
              <a:prstDash val="solid"/>
            </a:ln>
          </c:spPr>
          <c:marker>
            <c:symbol val="circle"/>
            <c:size val="5"/>
            <c:spPr>
              <a:solidFill>
                <a:srgbClr val="FFFFFF"/>
              </a:solidFill>
              <a:ln>
                <a:solidFill>
                  <a:srgbClr val="2563EB"/>
                </a:solidFill>
                <a:prstDash val="solid"/>
              </a:ln>
            </c:spPr>
          </c:marker>
          <c:cat>
            <c:strRef>
              <c:f>VIOLA_Media!$L$2:$L$26</c:f>
              <c:strCache>
                <c:ptCount val="25"/>
                <c:pt idx="0">
                  <c:v>C5</c:v>
                </c:pt>
                <c:pt idx="1">
                  <c:v>Db5</c:v>
                </c:pt>
                <c:pt idx="2">
                  <c:v>D5</c:v>
                </c:pt>
                <c:pt idx="3">
                  <c:v>Eb5</c:v>
                </c:pt>
                <c:pt idx="4">
                  <c:v>E5</c:v>
                </c:pt>
                <c:pt idx="5">
                  <c:v>F5</c:v>
                </c:pt>
                <c:pt idx="6">
                  <c:v>Gb5</c:v>
                </c:pt>
                <c:pt idx="7">
                  <c:v>G5</c:v>
                </c:pt>
                <c:pt idx="8">
                  <c:v>Ab5</c:v>
                </c:pt>
                <c:pt idx="9">
                  <c:v>A5</c:v>
                </c:pt>
                <c:pt idx="10">
                  <c:v>Bb5</c:v>
                </c:pt>
                <c:pt idx="11">
                  <c:v>B5</c:v>
                </c:pt>
                <c:pt idx="12">
                  <c:v>C6</c:v>
                </c:pt>
                <c:pt idx="13">
                  <c:v>Db6</c:v>
                </c:pt>
                <c:pt idx="14">
                  <c:v>D6</c:v>
                </c:pt>
                <c:pt idx="15">
                  <c:v>Eb6</c:v>
                </c:pt>
                <c:pt idx="16">
                  <c:v>E6</c:v>
                </c:pt>
                <c:pt idx="17">
                  <c:v>F6</c:v>
                </c:pt>
                <c:pt idx="18">
                  <c:v>Gb6</c:v>
                </c:pt>
                <c:pt idx="19">
                  <c:v>G6</c:v>
                </c:pt>
                <c:pt idx="20">
                  <c:v>Ab6</c:v>
                </c:pt>
                <c:pt idx="21">
                  <c:v>A6</c:v>
                </c:pt>
                <c:pt idx="22">
                  <c:v>A#6</c:v>
                </c:pt>
                <c:pt idx="23">
                  <c:v>B6</c:v>
                </c:pt>
                <c:pt idx="24">
                  <c:v>C7</c:v>
                </c:pt>
              </c:strCache>
            </c:strRef>
          </c:cat>
          <c:val>
            <c:numRef>
              <c:f>VIOLA_Media!$M$2:$M$26</c:f>
              <c:numCache>
                <c:formatCode>0.000000</c:formatCode>
                <c:ptCount val="25"/>
                <c:pt idx="0">
                  <c:v>17.602052278418419</c:v>
                </c:pt>
                <c:pt idx="1">
                  <c:v>17.14610412175638</c:v>
                </c:pt>
                <c:pt idx="2">
                  <c:v>17.516150609270056</c:v>
                </c:pt>
                <c:pt idx="3">
                  <c:v>18.744006166417915</c:v>
                </c:pt>
                <c:pt idx="4">
                  <c:v>16.702022965230071</c:v>
                </c:pt>
                <c:pt idx="5">
                  <c:v>15.59342898881553</c:v>
                </c:pt>
                <c:pt idx="6">
                  <c:v>11.84939630347947</c:v>
                </c:pt>
                <c:pt idx="7">
                  <c:v>14.12442335996656</c:v>
                </c:pt>
                <c:pt idx="8">
                  <c:v>14.262010835471116</c:v>
                </c:pt>
                <c:pt idx="9">
                  <c:v>13.670809233591189</c:v>
                </c:pt>
                <c:pt idx="10">
                  <c:v>15.613082883952199</c:v>
                </c:pt>
                <c:pt idx="11">
                  <c:v>15.754436297463194</c:v>
                </c:pt>
                <c:pt idx="12">
                  <c:v>14.52229756428571</c:v>
                </c:pt>
                <c:pt idx="13">
                  <c:v>13.396598030460279</c:v>
                </c:pt>
                <c:pt idx="14">
                  <c:v>14.077055419339256</c:v>
                </c:pt>
                <c:pt idx="15">
                  <c:v>13.375154821314325</c:v>
                </c:pt>
                <c:pt idx="16">
                  <c:v>13.20413086548279</c:v>
                </c:pt>
                <c:pt idx="17">
                  <c:v>9.8784231074823978</c:v>
                </c:pt>
                <c:pt idx="18">
                  <c:v>10.500899027630641</c:v>
                </c:pt>
                <c:pt idx="19">
                  <c:v>9.9586619203400168</c:v>
                </c:pt>
                <c:pt idx="20">
                  <c:v>9.0038051743070291</c:v>
                </c:pt>
                <c:pt idx="21">
                  <c:v>9.5147535947961401</c:v>
                </c:pt>
                <c:pt idx="22">
                  <c:v>9.0478635067675555</c:v>
                </c:pt>
                <c:pt idx="23">
                  <c:v>7.9677571197891428</c:v>
                </c:pt>
                <c:pt idx="24">
                  <c:v>7.5731338187875483</c:v>
                </c:pt>
              </c:numCache>
            </c:numRef>
          </c:val>
          <c:smooth val="0"/>
          <c:extLst>
            <c:ext xmlns:c16="http://schemas.microsoft.com/office/drawing/2014/chart" uri="{C3380CC4-5D6E-409C-BE32-E72D297353CC}">
              <c16:uniqueId val="{00000000-57A9-454F-ABBF-552DF9C8FDBB}"/>
            </c:ext>
          </c:extLst>
        </c:ser>
        <c:ser>
          <c:idx val="1"/>
          <c:order val="1"/>
          <c:tx>
            <c:v>Media mf</c:v>
          </c:tx>
          <c:spPr>
            <a:ln w="28575">
              <a:solidFill>
                <a:srgbClr val="F59E0B"/>
              </a:solidFill>
              <a:prstDash val="solid"/>
            </a:ln>
          </c:spPr>
          <c:marker>
            <c:symbol val="circle"/>
            <c:size val="5"/>
            <c:spPr>
              <a:solidFill>
                <a:srgbClr val="FFFFFF"/>
              </a:solidFill>
              <a:ln>
                <a:solidFill>
                  <a:srgbClr val="F59E0B"/>
                </a:solidFill>
                <a:prstDash val="solid"/>
              </a:ln>
            </c:spPr>
          </c:marker>
          <c:cat>
            <c:strRef>
              <c:f>VIOLA_Media!$L$2:$L$26</c:f>
              <c:strCache>
                <c:ptCount val="25"/>
                <c:pt idx="0">
                  <c:v>C5</c:v>
                </c:pt>
                <c:pt idx="1">
                  <c:v>Db5</c:v>
                </c:pt>
                <c:pt idx="2">
                  <c:v>D5</c:v>
                </c:pt>
                <c:pt idx="3">
                  <c:v>Eb5</c:v>
                </c:pt>
                <c:pt idx="4">
                  <c:v>E5</c:v>
                </c:pt>
                <c:pt idx="5">
                  <c:v>F5</c:v>
                </c:pt>
                <c:pt idx="6">
                  <c:v>Gb5</c:v>
                </c:pt>
                <c:pt idx="7">
                  <c:v>G5</c:v>
                </c:pt>
                <c:pt idx="8">
                  <c:v>Ab5</c:v>
                </c:pt>
                <c:pt idx="9">
                  <c:v>A5</c:v>
                </c:pt>
                <c:pt idx="10">
                  <c:v>Bb5</c:v>
                </c:pt>
                <c:pt idx="11">
                  <c:v>B5</c:v>
                </c:pt>
                <c:pt idx="12">
                  <c:v>C6</c:v>
                </c:pt>
                <c:pt idx="13">
                  <c:v>Db6</c:v>
                </c:pt>
                <c:pt idx="14">
                  <c:v>D6</c:v>
                </c:pt>
                <c:pt idx="15">
                  <c:v>Eb6</c:v>
                </c:pt>
                <c:pt idx="16">
                  <c:v>E6</c:v>
                </c:pt>
                <c:pt idx="17">
                  <c:v>F6</c:v>
                </c:pt>
                <c:pt idx="18">
                  <c:v>Gb6</c:v>
                </c:pt>
                <c:pt idx="19">
                  <c:v>G6</c:v>
                </c:pt>
                <c:pt idx="20">
                  <c:v>Ab6</c:v>
                </c:pt>
                <c:pt idx="21">
                  <c:v>A6</c:v>
                </c:pt>
                <c:pt idx="22">
                  <c:v>A#6</c:v>
                </c:pt>
                <c:pt idx="23">
                  <c:v>B6</c:v>
                </c:pt>
                <c:pt idx="24">
                  <c:v>C7</c:v>
                </c:pt>
              </c:strCache>
            </c:strRef>
          </c:cat>
          <c:val>
            <c:numRef>
              <c:f>VIOLA_Media!$N$2:$N$26</c:f>
              <c:numCache>
                <c:formatCode>0.000000</c:formatCode>
                <c:ptCount val="25"/>
                <c:pt idx="0">
                  <c:v>20.011779521493672</c:v>
                </c:pt>
                <c:pt idx="1">
                  <c:v>17.76529004476372</c:v>
                </c:pt>
                <c:pt idx="2">
                  <c:v>18.066644104250841</c:v>
                </c:pt>
                <c:pt idx="3">
                  <c:v>15.950858677186565</c:v>
                </c:pt>
                <c:pt idx="4">
                  <c:v>14.060338055234251</c:v>
                </c:pt>
                <c:pt idx="5">
                  <c:v>15.012814971398974</c:v>
                </c:pt>
                <c:pt idx="6">
                  <c:v>14.299555867227941</c:v>
                </c:pt>
                <c:pt idx="7">
                  <c:v>16.115057977824645</c:v>
                </c:pt>
                <c:pt idx="8">
                  <c:v>15.721229905093685</c:v>
                </c:pt>
                <c:pt idx="9">
                  <c:v>14.953158680707801</c:v>
                </c:pt>
                <c:pt idx="10">
                  <c:v>15.410852681885755</c:v>
                </c:pt>
                <c:pt idx="11">
                  <c:v>14.433901325936144</c:v>
                </c:pt>
                <c:pt idx="12">
                  <c:v>15.137504009732311</c:v>
                </c:pt>
                <c:pt idx="13">
                  <c:v>14.205652949942426</c:v>
                </c:pt>
                <c:pt idx="14">
                  <c:v>12.97958446731856</c:v>
                </c:pt>
                <c:pt idx="15">
                  <c:v>13.61667618628694</c:v>
                </c:pt>
                <c:pt idx="16">
                  <c:v>13.597608127134674</c:v>
                </c:pt>
                <c:pt idx="17">
                  <c:v>9.3224576668520367</c:v>
                </c:pt>
                <c:pt idx="18">
                  <c:v>9.4856665509761164</c:v>
                </c:pt>
                <c:pt idx="19">
                  <c:v>9.0441107849717426</c:v>
                </c:pt>
                <c:pt idx="20">
                  <c:v>8.7673923976307755</c:v>
                </c:pt>
                <c:pt idx="21">
                  <c:v>9.468879651769516</c:v>
                </c:pt>
                <c:pt idx="22">
                  <c:v>8.6172142871613087</c:v>
                </c:pt>
                <c:pt idx="23">
                  <c:v>8.5211023525778575</c:v>
                </c:pt>
                <c:pt idx="24">
                  <c:v>6.6253836452625166</c:v>
                </c:pt>
              </c:numCache>
            </c:numRef>
          </c:val>
          <c:smooth val="0"/>
          <c:extLst>
            <c:ext xmlns:c16="http://schemas.microsoft.com/office/drawing/2014/chart" uri="{C3380CC4-5D6E-409C-BE32-E72D297353CC}">
              <c16:uniqueId val="{00000001-57A9-454F-ABBF-552DF9C8FDBB}"/>
            </c:ext>
          </c:extLst>
        </c:ser>
        <c:ser>
          <c:idx val="2"/>
          <c:order val="2"/>
          <c:tx>
            <c:v>Media ff</c:v>
          </c:tx>
          <c:spPr>
            <a:ln w="28575">
              <a:solidFill>
                <a:srgbClr val="DC2626"/>
              </a:solidFill>
              <a:prstDash val="solid"/>
            </a:ln>
          </c:spPr>
          <c:marker>
            <c:symbol val="circle"/>
            <c:size val="5"/>
            <c:spPr>
              <a:solidFill>
                <a:srgbClr val="FFFFFF"/>
              </a:solidFill>
              <a:ln>
                <a:solidFill>
                  <a:srgbClr val="DC2626"/>
                </a:solidFill>
                <a:prstDash val="solid"/>
              </a:ln>
            </c:spPr>
          </c:marker>
          <c:cat>
            <c:strRef>
              <c:f>VIOLA_Media!$L$2:$L$26</c:f>
              <c:strCache>
                <c:ptCount val="25"/>
                <c:pt idx="0">
                  <c:v>C5</c:v>
                </c:pt>
                <c:pt idx="1">
                  <c:v>Db5</c:v>
                </c:pt>
                <c:pt idx="2">
                  <c:v>D5</c:v>
                </c:pt>
                <c:pt idx="3">
                  <c:v>Eb5</c:v>
                </c:pt>
                <c:pt idx="4">
                  <c:v>E5</c:v>
                </c:pt>
                <c:pt idx="5">
                  <c:v>F5</c:v>
                </c:pt>
                <c:pt idx="6">
                  <c:v>Gb5</c:v>
                </c:pt>
                <c:pt idx="7">
                  <c:v>G5</c:v>
                </c:pt>
                <c:pt idx="8">
                  <c:v>Ab5</c:v>
                </c:pt>
                <c:pt idx="9">
                  <c:v>A5</c:v>
                </c:pt>
                <c:pt idx="10">
                  <c:v>Bb5</c:v>
                </c:pt>
                <c:pt idx="11">
                  <c:v>B5</c:v>
                </c:pt>
                <c:pt idx="12">
                  <c:v>C6</c:v>
                </c:pt>
                <c:pt idx="13">
                  <c:v>Db6</c:v>
                </c:pt>
                <c:pt idx="14">
                  <c:v>D6</c:v>
                </c:pt>
                <c:pt idx="15">
                  <c:v>Eb6</c:v>
                </c:pt>
                <c:pt idx="16">
                  <c:v>E6</c:v>
                </c:pt>
                <c:pt idx="17">
                  <c:v>F6</c:v>
                </c:pt>
                <c:pt idx="18">
                  <c:v>Gb6</c:v>
                </c:pt>
                <c:pt idx="19">
                  <c:v>G6</c:v>
                </c:pt>
                <c:pt idx="20">
                  <c:v>Ab6</c:v>
                </c:pt>
                <c:pt idx="21">
                  <c:v>A6</c:v>
                </c:pt>
                <c:pt idx="22">
                  <c:v>A#6</c:v>
                </c:pt>
                <c:pt idx="23">
                  <c:v>B6</c:v>
                </c:pt>
                <c:pt idx="24">
                  <c:v>C7</c:v>
                </c:pt>
              </c:strCache>
            </c:strRef>
          </c:cat>
          <c:val>
            <c:numRef>
              <c:f>VIOLA_Media!$O$2:$O$26</c:f>
              <c:numCache>
                <c:formatCode>0.000000</c:formatCode>
                <c:ptCount val="25"/>
                <c:pt idx="0">
                  <c:v>18.511895667774986</c:v>
                </c:pt>
                <c:pt idx="1">
                  <c:v>18.008395826304543</c:v>
                </c:pt>
                <c:pt idx="2">
                  <c:v>19.786640420445135</c:v>
                </c:pt>
                <c:pt idx="3">
                  <c:v>18.227370039359073</c:v>
                </c:pt>
                <c:pt idx="4">
                  <c:v>16.062001811528589</c:v>
                </c:pt>
                <c:pt idx="5">
                  <c:v>15.513234826716896</c:v>
                </c:pt>
                <c:pt idx="6">
                  <c:v>13.358042038952895</c:v>
                </c:pt>
                <c:pt idx="7">
                  <c:v>14.20509568511471</c:v>
                </c:pt>
                <c:pt idx="8">
                  <c:v>15.411870116355679</c:v>
                </c:pt>
                <c:pt idx="9">
                  <c:v>13.436879745495474</c:v>
                </c:pt>
                <c:pt idx="10">
                  <c:v>15.34251887515674</c:v>
                </c:pt>
                <c:pt idx="11">
                  <c:v>14.884716681016091</c:v>
                </c:pt>
                <c:pt idx="12">
                  <c:v>14.852339999827686</c:v>
                </c:pt>
                <c:pt idx="13">
                  <c:v>12.611081976196655</c:v>
                </c:pt>
                <c:pt idx="14">
                  <c:v>13.249624907676594</c:v>
                </c:pt>
                <c:pt idx="15">
                  <c:v>13.50693479903045</c:v>
                </c:pt>
                <c:pt idx="16">
                  <c:v>14.645212759712194</c:v>
                </c:pt>
                <c:pt idx="17">
                  <c:v>10.417356269697585</c:v>
                </c:pt>
                <c:pt idx="18">
                  <c:v>11.82172985951579</c:v>
                </c:pt>
                <c:pt idx="19">
                  <c:v>10.681858656395089</c:v>
                </c:pt>
                <c:pt idx="20">
                  <c:v>9.3960601352280921</c:v>
                </c:pt>
                <c:pt idx="21">
                  <c:v>9.8180928062899717</c:v>
                </c:pt>
                <c:pt idx="22">
                  <c:v>8.5061722480512536</c:v>
                </c:pt>
                <c:pt idx="23">
                  <c:v>8.6389911016822545</c:v>
                </c:pt>
                <c:pt idx="24">
                  <c:v>7.8921150622777914</c:v>
                </c:pt>
              </c:numCache>
            </c:numRef>
          </c:val>
          <c:smooth val="0"/>
          <c:extLst>
            <c:ext xmlns:c16="http://schemas.microsoft.com/office/drawing/2014/chart" uri="{C3380CC4-5D6E-409C-BE32-E72D297353CC}">
              <c16:uniqueId val="{00000002-57A9-454F-ABBF-552DF9C8FDBB}"/>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title>
          <c:tx>
            <c:rich>
              <a:bodyPr rot="0" vert="horz"/>
              <a:lstStyle/>
              <a:p>
                <a:pPr>
                  <a:defRPr sz="1050" b="1">
                    <a:solidFill>
                      <a:srgbClr val="595959"/>
                    </a:solidFill>
                    <a:latin typeface="Carlito"/>
                    <a:ea typeface="Carlito"/>
                    <a:cs typeface="Carlito"/>
                  </a:defRPr>
                </a:pPr>
                <a:r>
                  <a:rPr lang="en-US" sz="1050"/>
                  <a:t>Note (chromatic scale)</a:t>
                </a:r>
              </a:p>
            </c:rich>
          </c:tx>
          <c:layout>
            <c:manualLayout>
              <c:xMode val="edge"/>
              <c:yMode val="edge"/>
              <c:x val="0.44859404720158969"/>
              <c:y val="0.82751957890676753"/>
            </c:manualLayout>
          </c:layout>
          <c:overlay val="0"/>
          <c:spPr>
            <a:noFill/>
            <a:ln>
              <a:noFill/>
              <a:prstDash val="solid"/>
            </a:ln>
          </c:spPr>
        </c:title>
        <c:numFmt formatCode="General" sourceLinked="1"/>
        <c:majorTickMark val="none"/>
        <c:minorTickMark val="none"/>
        <c:tickLblPos val="nextTo"/>
        <c:spPr>
          <a:noFill/>
          <a:ln>
            <a:noFill/>
            <a:prstDash val="solid"/>
          </a:ln>
        </c:spPr>
        <c:txPr>
          <a:bodyPr rot="-60000000" vert="horz"/>
          <a:lstStyle/>
          <a:p>
            <a:pPr>
              <a:defRPr sz="900">
                <a:solidFill>
                  <a:srgbClr val="595959"/>
                </a:solidFill>
                <a:latin typeface="Carlito"/>
                <a:ea typeface="Carlito"/>
                <a:cs typeface="Carlito"/>
              </a:defRPr>
            </a:pPr>
            <a:endParaRPr lang="pt-PT"/>
          </a:p>
        </c:txPr>
        <c:crossAx val="48672768"/>
        <c:crosses val="autoZero"/>
        <c:auto val="1"/>
        <c:lblAlgn val="ctr"/>
        <c:lblOffset val="100"/>
        <c:noMultiLvlLbl val="0"/>
      </c:catAx>
      <c:valAx>
        <c:axId val="48672768"/>
        <c:scaling>
          <c:orientation val="minMax"/>
          <c:min val="0"/>
        </c:scaling>
        <c:delete val="0"/>
        <c:axPos val="l"/>
        <c:majorGridlines>
          <c:spPr>
            <a:ln w="9525">
              <a:solidFill>
                <a:srgbClr val="E0E0E0"/>
              </a:solidFill>
              <a:prstDash val="solid"/>
            </a:ln>
          </c:spPr>
        </c:majorGridlines>
        <c:title>
          <c:tx>
            <c:rich>
              <a:bodyPr rot="-5400000" vert="horz"/>
              <a:lstStyle/>
              <a:p>
                <a:pPr>
                  <a:defRPr sz="1100" b="1">
                    <a:solidFill>
                      <a:srgbClr val="595959"/>
                    </a:solidFill>
                    <a:latin typeface="Carlito"/>
                    <a:ea typeface="Carlito"/>
                    <a:cs typeface="Carlito"/>
                  </a:defRPr>
                </a:pPr>
                <a:r>
                  <a:rPr lang="en-US" sz="1100"/>
                  <a:t>Combined Density Metric (Media)</a:t>
                </a:r>
              </a:p>
            </c:rich>
          </c:tx>
          <c:overlay val="0"/>
          <c:spPr>
            <a:noFill/>
            <a:ln>
              <a:solidFill>
                <a:schemeClr val="tx1"/>
              </a:solidFill>
              <a:prstDash val="solid"/>
            </a:ln>
          </c:spPr>
        </c:title>
        <c:numFmt formatCode="0" sourceLinked="0"/>
        <c:majorTickMark val="none"/>
        <c:minorTickMark val="none"/>
        <c:tickLblPos val="nextTo"/>
        <c:spPr>
          <a:noFill/>
          <a:ln>
            <a:noFill/>
            <a:prstDash val="solid"/>
          </a:ln>
        </c:spPr>
        <c:txPr>
          <a:bodyPr rot="-60000000" vert="horz"/>
          <a:lstStyle/>
          <a:p>
            <a:pPr>
              <a:defRPr sz="800">
                <a:solidFill>
                  <a:srgbClr val="595959"/>
                </a:solidFill>
                <a:latin typeface="Carlito"/>
                <a:ea typeface="Carlito"/>
                <a:cs typeface="Carlito"/>
              </a:defRPr>
            </a:pPr>
            <a:endParaRPr lang="pt-PT"/>
          </a:p>
        </c:txPr>
        <c:crossAx val="48650112"/>
        <c:crosses val="autoZero"/>
        <c:crossBetween val="between"/>
        <c:majorUnit val="20"/>
      </c:valAx>
    </c:plotArea>
    <c:legend>
      <c:legendPos val="b"/>
      <c:overlay val="0"/>
      <c:spPr>
        <a:noFill/>
        <a:ln>
          <a:solidFill>
            <a:schemeClr val="tx1"/>
          </a:solidFill>
          <a:prstDash val="solid"/>
        </a:ln>
      </c:spPr>
      <c:txPr>
        <a:bodyPr rot="0" vert="horz"/>
        <a:lstStyle/>
        <a:p>
          <a:pPr>
            <a:defRPr sz="1050"/>
          </a:pPr>
          <a:endParaRPr lang="pt-PT"/>
        </a:p>
      </c:txPr>
    </c:legend>
    <c:plotVisOnly val="1"/>
    <c:dispBlanksAs val="zero"/>
    <c:showDLblsOverMax val="1"/>
  </c:chart>
  <c:spPr>
    <a:solidFill>
      <a:srgbClr val="FFFFFF"/>
    </a:solidFill>
    <a:ln w="9525" cap="flat" cmpd="sng" algn="ctr">
      <a:solidFill>
        <a:schemeClr val="accent1">
          <a:lumMod val="20000"/>
          <a:lumOff val="80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lang="pt-PT"/>
          </a:p>
        </c:rich>
      </c:tx>
      <c:overlay val="0"/>
      <c:spPr>
        <a:noFill/>
        <a:ln>
          <a:noFill/>
          <a:prstDash val="solid"/>
        </a:ln>
      </c:spPr>
    </c:title>
    <c:autoTitleDeleted val="0"/>
    <c:plotArea>
      <c:layout/>
      <c:lineChart>
        <c:grouping val="standard"/>
        <c:varyColors val="0"/>
        <c:ser>
          <c:idx val="0"/>
          <c:order val="0"/>
          <c:tx>
            <c:strRef>
              <c:f>VIOLA_Media!$M$1</c:f>
              <c:strCache>
                <c:ptCount val="1"/>
                <c:pt idx="0">
                  <c:v>Media pp</c:v>
                </c:pt>
              </c:strCache>
            </c:strRef>
          </c:tx>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cat>
            <c:strRef>
              <c:f>VIOLA_Media!$L$2:$L$26</c:f>
              <c:strCache>
                <c:ptCount val="25"/>
                <c:pt idx="0">
                  <c:v>C5</c:v>
                </c:pt>
                <c:pt idx="1">
                  <c:v>Db5</c:v>
                </c:pt>
                <c:pt idx="2">
                  <c:v>D5</c:v>
                </c:pt>
                <c:pt idx="3">
                  <c:v>Eb5</c:v>
                </c:pt>
                <c:pt idx="4">
                  <c:v>E5</c:v>
                </c:pt>
                <c:pt idx="5">
                  <c:v>F5</c:v>
                </c:pt>
                <c:pt idx="6">
                  <c:v>Gb5</c:v>
                </c:pt>
                <c:pt idx="7">
                  <c:v>G5</c:v>
                </c:pt>
                <c:pt idx="8">
                  <c:v>Ab5</c:v>
                </c:pt>
                <c:pt idx="9">
                  <c:v>A5</c:v>
                </c:pt>
                <c:pt idx="10">
                  <c:v>Bb5</c:v>
                </c:pt>
                <c:pt idx="11">
                  <c:v>B5</c:v>
                </c:pt>
                <c:pt idx="12">
                  <c:v>C6</c:v>
                </c:pt>
                <c:pt idx="13">
                  <c:v>Db6</c:v>
                </c:pt>
                <c:pt idx="14">
                  <c:v>D6</c:v>
                </c:pt>
                <c:pt idx="15">
                  <c:v>Eb6</c:v>
                </c:pt>
                <c:pt idx="16">
                  <c:v>E6</c:v>
                </c:pt>
                <c:pt idx="17">
                  <c:v>F6</c:v>
                </c:pt>
                <c:pt idx="18">
                  <c:v>Gb6</c:v>
                </c:pt>
                <c:pt idx="19">
                  <c:v>G6</c:v>
                </c:pt>
                <c:pt idx="20">
                  <c:v>Ab6</c:v>
                </c:pt>
                <c:pt idx="21">
                  <c:v>A6</c:v>
                </c:pt>
                <c:pt idx="22">
                  <c:v>A#6</c:v>
                </c:pt>
                <c:pt idx="23">
                  <c:v>B6</c:v>
                </c:pt>
                <c:pt idx="24">
                  <c:v>C7</c:v>
                </c:pt>
              </c:strCache>
            </c:strRef>
          </c:cat>
          <c:val>
            <c:numRef>
              <c:f>VIOLA_Media!$M$2:$M$26</c:f>
              <c:numCache>
                <c:formatCode>0.000000</c:formatCode>
                <c:ptCount val="25"/>
                <c:pt idx="0">
                  <c:v>17.602052278418419</c:v>
                </c:pt>
                <c:pt idx="1">
                  <c:v>17.14610412175638</c:v>
                </c:pt>
                <c:pt idx="2">
                  <c:v>17.516150609270056</c:v>
                </c:pt>
                <c:pt idx="3">
                  <c:v>18.744006166417915</c:v>
                </c:pt>
                <c:pt idx="4">
                  <c:v>16.702022965230071</c:v>
                </c:pt>
                <c:pt idx="5">
                  <c:v>15.59342898881553</c:v>
                </c:pt>
                <c:pt idx="6">
                  <c:v>11.84939630347947</c:v>
                </c:pt>
                <c:pt idx="7">
                  <c:v>14.12442335996656</c:v>
                </c:pt>
                <c:pt idx="8">
                  <c:v>14.262010835471116</c:v>
                </c:pt>
                <c:pt idx="9">
                  <c:v>13.670809233591189</c:v>
                </c:pt>
                <c:pt idx="10">
                  <c:v>15.613082883952199</c:v>
                </c:pt>
                <c:pt idx="11">
                  <c:v>15.754436297463194</c:v>
                </c:pt>
                <c:pt idx="12">
                  <c:v>14.52229756428571</c:v>
                </c:pt>
                <c:pt idx="13">
                  <c:v>13.396598030460279</c:v>
                </c:pt>
                <c:pt idx="14">
                  <c:v>14.077055419339256</c:v>
                </c:pt>
                <c:pt idx="15">
                  <c:v>13.375154821314325</c:v>
                </c:pt>
                <c:pt idx="16">
                  <c:v>13.20413086548279</c:v>
                </c:pt>
                <c:pt idx="17">
                  <c:v>9.8784231074823978</c:v>
                </c:pt>
                <c:pt idx="18">
                  <c:v>10.500899027630641</c:v>
                </c:pt>
                <c:pt idx="19">
                  <c:v>9.9586619203400168</c:v>
                </c:pt>
                <c:pt idx="20">
                  <c:v>9.0038051743070291</c:v>
                </c:pt>
                <c:pt idx="21">
                  <c:v>9.5147535947961401</c:v>
                </c:pt>
                <c:pt idx="22">
                  <c:v>9.0478635067675555</c:v>
                </c:pt>
                <c:pt idx="23">
                  <c:v>7.9677571197891428</c:v>
                </c:pt>
                <c:pt idx="24">
                  <c:v>7.5731338187875483</c:v>
                </c:pt>
              </c:numCache>
            </c:numRef>
          </c:val>
          <c:smooth val="0"/>
          <c:extLst>
            <c:ext xmlns:c16="http://schemas.microsoft.com/office/drawing/2014/chart" uri="{C3380CC4-5D6E-409C-BE32-E72D297353CC}">
              <c16:uniqueId val="{00000000-FE39-4D2F-B3E1-2896810961A3}"/>
            </c:ext>
          </c:extLst>
        </c:ser>
        <c:ser>
          <c:idx val="1"/>
          <c:order val="1"/>
          <c:tx>
            <c:strRef>
              <c:f>VIOLA_Media!$N$1</c:f>
              <c:strCache>
                <c:ptCount val="1"/>
                <c:pt idx="0">
                  <c:v>Media mf</c:v>
                </c:pt>
              </c:strCache>
            </c:strRef>
          </c:tx>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cat>
            <c:strRef>
              <c:f>VIOLA_Media!$L$2:$L$26</c:f>
              <c:strCache>
                <c:ptCount val="25"/>
                <c:pt idx="0">
                  <c:v>C5</c:v>
                </c:pt>
                <c:pt idx="1">
                  <c:v>Db5</c:v>
                </c:pt>
                <c:pt idx="2">
                  <c:v>D5</c:v>
                </c:pt>
                <c:pt idx="3">
                  <c:v>Eb5</c:v>
                </c:pt>
                <c:pt idx="4">
                  <c:v>E5</c:v>
                </c:pt>
                <c:pt idx="5">
                  <c:v>F5</c:v>
                </c:pt>
                <c:pt idx="6">
                  <c:v>Gb5</c:v>
                </c:pt>
                <c:pt idx="7">
                  <c:v>G5</c:v>
                </c:pt>
                <c:pt idx="8">
                  <c:v>Ab5</c:v>
                </c:pt>
                <c:pt idx="9">
                  <c:v>A5</c:v>
                </c:pt>
                <c:pt idx="10">
                  <c:v>Bb5</c:v>
                </c:pt>
                <c:pt idx="11">
                  <c:v>B5</c:v>
                </c:pt>
                <c:pt idx="12">
                  <c:v>C6</c:v>
                </c:pt>
                <c:pt idx="13">
                  <c:v>Db6</c:v>
                </c:pt>
                <c:pt idx="14">
                  <c:v>D6</c:v>
                </c:pt>
                <c:pt idx="15">
                  <c:v>Eb6</c:v>
                </c:pt>
                <c:pt idx="16">
                  <c:v>E6</c:v>
                </c:pt>
                <c:pt idx="17">
                  <c:v>F6</c:v>
                </c:pt>
                <c:pt idx="18">
                  <c:v>Gb6</c:v>
                </c:pt>
                <c:pt idx="19">
                  <c:v>G6</c:v>
                </c:pt>
                <c:pt idx="20">
                  <c:v>Ab6</c:v>
                </c:pt>
                <c:pt idx="21">
                  <c:v>A6</c:v>
                </c:pt>
                <c:pt idx="22">
                  <c:v>A#6</c:v>
                </c:pt>
                <c:pt idx="23">
                  <c:v>B6</c:v>
                </c:pt>
                <c:pt idx="24">
                  <c:v>C7</c:v>
                </c:pt>
              </c:strCache>
            </c:strRef>
          </c:cat>
          <c:val>
            <c:numRef>
              <c:f>VIOLA_Media!$N$2:$N$26</c:f>
              <c:numCache>
                <c:formatCode>0.000000</c:formatCode>
                <c:ptCount val="25"/>
                <c:pt idx="0">
                  <c:v>20.011779521493672</c:v>
                </c:pt>
                <c:pt idx="1">
                  <c:v>17.76529004476372</c:v>
                </c:pt>
                <c:pt idx="2">
                  <c:v>18.066644104250841</c:v>
                </c:pt>
                <c:pt idx="3">
                  <c:v>15.950858677186565</c:v>
                </c:pt>
                <c:pt idx="4">
                  <c:v>14.060338055234251</c:v>
                </c:pt>
                <c:pt idx="5">
                  <c:v>15.012814971398974</c:v>
                </c:pt>
                <c:pt idx="6">
                  <c:v>14.299555867227941</c:v>
                </c:pt>
                <c:pt idx="7">
                  <c:v>16.115057977824645</c:v>
                </c:pt>
                <c:pt idx="8">
                  <c:v>15.721229905093685</c:v>
                </c:pt>
                <c:pt idx="9">
                  <c:v>14.953158680707801</c:v>
                </c:pt>
                <c:pt idx="10">
                  <c:v>15.410852681885755</c:v>
                </c:pt>
                <c:pt idx="11">
                  <c:v>14.433901325936144</c:v>
                </c:pt>
                <c:pt idx="12">
                  <c:v>15.137504009732311</c:v>
                </c:pt>
                <c:pt idx="13">
                  <c:v>14.205652949942426</c:v>
                </c:pt>
                <c:pt idx="14">
                  <c:v>12.97958446731856</c:v>
                </c:pt>
                <c:pt idx="15">
                  <c:v>13.61667618628694</c:v>
                </c:pt>
                <c:pt idx="16">
                  <c:v>13.597608127134674</c:v>
                </c:pt>
                <c:pt idx="17">
                  <c:v>9.3224576668520367</c:v>
                </c:pt>
                <c:pt idx="18">
                  <c:v>9.4856665509761164</c:v>
                </c:pt>
                <c:pt idx="19">
                  <c:v>9.0441107849717426</c:v>
                </c:pt>
                <c:pt idx="20">
                  <c:v>8.7673923976307755</c:v>
                </c:pt>
                <c:pt idx="21">
                  <c:v>9.468879651769516</c:v>
                </c:pt>
                <c:pt idx="22">
                  <c:v>8.6172142871613087</c:v>
                </c:pt>
                <c:pt idx="23">
                  <c:v>8.5211023525778575</c:v>
                </c:pt>
                <c:pt idx="24">
                  <c:v>6.6253836452625166</c:v>
                </c:pt>
              </c:numCache>
            </c:numRef>
          </c:val>
          <c:smooth val="0"/>
          <c:extLst>
            <c:ext xmlns:c16="http://schemas.microsoft.com/office/drawing/2014/chart" uri="{C3380CC4-5D6E-409C-BE32-E72D297353CC}">
              <c16:uniqueId val="{00000001-FE39-4D2F-B3E1-2896810961A3}"/>
            </c:ext>
          </c:extLst>
        </c:ser>
        <c:ser>
          <c:idx val="2"/>
          <c:order val="2"/>
          <c:tx>
            <c:strRef>
              <c:f>VIOLA_Media!$O$1</c:f>
              <c:strCache>
                <c:ptCount val="1"/>
                <c:pt idx="0">
                  <c:v>Media ff</c:v>
                </c:pt>
              </c:strCache>
            </c:strRef>
          </c:tx>
          <c:spPr>
            <a:ln w="28575" cap="rnd">
              <a:solidFill>
                <a:schemeClr val="accent3"/>
              </a:solidFill>
              <a:prstDash val="solid"/>
              <a:round/>
            </a:ln>
          </c:spPr>
          <c:marker>
            <c:symbol val="circle"/>
            <c:size val="5"/>
            <c:spPr>
              <a:solidFill>
                <a:schemeClr val="accent3"/>
              </a:solidFill>
              <a:ln w="9525">
                <a:solidFill>
                  <a:schemeClr val="accent3"/>
                </a:solidFill>
                <a:prstDash val="solid"/>
              </a:ln>
            </c:spPr>
          </c:marker>
          <c:cat>
            <c:strRef>
              <c:f>VIOLA_Media!$L$2:$L$26</c:f>
              <c:strCache>
                <c:ptCount val="25"/>
                <c:pt idx="0">
                  <c:v>C5</c:v>
                </c:pt>
                <c:pt idx="1">
                  <c:v>Db5</c:v>
                </c:pt>
                <c:pt idx="2">
                  <c:v>D5</c:v>
                </c:pt>
                <c:pt idx="3">
                  <c:v>Eb5</c:v>
                </c:pt>
                <c:pt idx="4">
                  <c:v>E5</c:v>
                </c:pt>
                <c:pt idx="5">
                  <c:v>F5</c:v>
                </c:pt>
                <c:pt idx="6">
                  <c:v>Gb5</c:v>
                </c:pt>
                <c:pt idx="7">
                  <c:v>G5</c:v>
                </c:pt>
                <c:pt idx="8">
                  <c:v>Ab5</c:v>
                </c:pt>
                <c:pt idx="9">
                  <c:v>A5</c:v>
                </c:pt>
                <c:pt idx="10">
                  <c:v>Bb5</c:v>
                </c:pt>
                <c:pt idx="11">
                  <c:v>B5</c:v>
                </c:pt>
                <c:pt idx="12">
                  <c:v>C6</c:v>
                </c:pt>
                <c:pt idx="13">
                  <c:v>Db6</c:v>
                </c:pt>
                <c:pt idx="14">
                  <c:v>D6</c:v>
                </c:pt>
                <c:pt idx="15">
                  <c:v>Eb6</c:v>
                </c:pt>
                <c:pt idx="16">
                  <c:v>E6</c:v>
                </c:pt>
                <c:pt idx="17">
                  <c:v>F6</c:v>
                </c:pt>
                <c:pt idx="18">
                  <c:v>Gb6</c:v>
                </c:pt>
                <c:pt idx="19">
                  <c:v>G6</c:v>
                </c:pt>
                <c:pt idx="20">
                  <c:v>Ab6</c:v>
                </c:pt>
                <c:pt idx="21">
                  <c:v>A6</c:v>
                </c:pt>
                <c:pt idx="22">
                  <c:v>A#6</c:v>
                </c:pt>
                <c:pt idx="23">
                  <c:v>B6</c:v>
                </c:pt>
                <c:pt idx="24">
                  <c:v>C7</c:v>
                </c:pt>
              </c:strCache>
            </c:strRef>
          </c:cat>
          <c:val>
            <c:numRef>
              <c:f>VIOLA_Media!$O$2:$O$26</c:f>
              <c:numCache>
                <c:formatCode>0.000000</c:formatCode>
                <c:ptCount val="25"/>
                <c:pt idx="0">
                  <c:v>18.511895667774986</c:v>
                </c:pt>
                <c:pt idx="1">
                  <c:v>18.008395826304543</c:v>
                </c:pt>
                <c:pt idx="2">
                  <c:v>19.786640420445135</c:v>
                </c:pt>
                <c:pt idx="3">
                  <c:v>18.227370039359073</c:v>
                </c:pt>
                <c:pt idx="4">
                  <c:v>16.062001811528589</c:v>
                </c:pt>
                <c:pt idx="5">
                  <c:v>15.513234826716896</c:v>
                </c:pt>
                <c:pt idx="6">
                  <c:v>13.358042038952895</c:v>
                </c:pt>
                <c:pt idx="7">
                  <c:v>14.20509568511471</c:v>
                </c:pt>
                <c:pt idx="8">
                  <c:v>15.411870116355679</c:v>
                </c:pt>
                <c:pt idx="9">
                  <c:v>13.436879745495474</c:v>
                </c:pt>
                <c:pt idx="10">
                  <c:v>15.34251887515674</c:v>
                </c:pt>
                <c:pt idx="11">
                  <c:v>14.884716681016091</c:v>
                </c:pt>
                <c:pt idx="12">
                  <c:v>14.852339999827686</c:v>
                </c:pt>
                <c:pt idx="13">
                  <c:v>12.611081976196655</c:v>
                </c:pt>
                <c:pt idx="14">
                  <c:v>13.249624907676594</c:v>
                </c:pt>
                <c:pt idx="15">
                  <c:v>13.50693479903045</c:v>
                </c:pt>
                <c:pt idx="16">
                  <c:v>14.645212759712194</c:v>
                </c:pt>
                <c:pt idx="17">
                  <c:v>10.417356269697585</c:v>
                </c:pt>
                <c:pt idx="18">
                  <c:v>11.82172985951579</c:v>
                </c:pt>
                <c:pt idx="19">
                  <c:v>10.681858656395089</c:v>
                </c:pt>
                <c:pt idx="20">
                  <c:v>9.3960601352280921</c:v>
                </c:pt>
                <c:pt idx="21">
                  <c:v>9.8180928062899717</c:v>
                </c:pt>
                <c:pt idx="22">
                  <c:v>8.5061722480512536</c:v>
                </c:pt>
                <c:pt idx="23">
                  <c:v>8.6389911016822545</c:v>
                </c:pt>
                <c:pt idx="24">
                  <c:v>7.8921150622777914</c:v>
                </c:pt>
              </c:numCache>
            </c:numRef>
          </c:val>
          <c:smooth val="0"/>
          <c:extLst>
            <c:ext xmlns:c16="http://schemas.microsoft.com/office/drawing/2014/chart" uri="{C3380CC4-5D6E-409C-BE32-E72D297353CC}">
              <c16:uniqueId val="{00000002-FE39-4D2F-B3E1-2896810961A3}"/>
            </c:ext>
          </c:extLst>
        </c:ser>
        <c:dLbls>
          <c:showLegendKey val="0"/>
          <c:showVal val="0"/>
          <c:showCatName val="0"/>
          <c:showSerName val="0"/>
          <c:showPercent val="0"/>
          <c:showBubbleSize val="0"/>
        </c:dLbls>
        <c:marker val="1"/>
        <c:smooth val="0"/>
        <c:axId val="438855855"/>
        <c:axId val="375133071"/>
      </c:lineChart>
      <c:catAx>
        <c:axId val="43885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PT"/>
          </a:p>
        </c:txPr>
        <c:crossAx val="375133071"/>
        <c:crosses val="autoZero"/>
        <c:auto val="1"/>
        <c:lblAlgn val="ctr"/>
        <c:lblOffset val="100"/>
        <c:noMultiLvlLbl val="0"/>
      </c:catAx>
      <c:valAx>
        <c:axId val="3751330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PT"/>
          </a:p>
        </c:txPr>
        <c:crossAx val="43885585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10</xdr:col>
      <xdr:colOff>1014411</xdr:colOff>
      <xdr:row>1</xdr:row>
      <xdr:rowOff>0</xdr:rowOff>
    </xdr:from>
    <xdr:to>
      <xdr:col>20</xdr:col>
      <xdr:colOff>219075</xdr:colOff>
      <xdr:row>2</xdr:row>
      <xdr:rowOff>104775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0</xdr:row>
      <xdr:rowOff>180974</xdr:rowOff>
    </xdr:from>
    <xdr:to>
      <xdr:col>11</xdr:col>
      <xdr:colOff>2066925</xdr:colOff>
      <xdr:row>16</xdr:row>
      <xdr:rowOff>76199</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390525</xdr:colOff>
      <xdr:row>1</xdr:row>
      <xdr:rowOff>0</xdr:rowOff>
    </xdr:from>
    <xdr:to>
      <xdr:col>26</xdr:col>
      <xdr:colOff>252414</xdr:colOff>
      <xdr:row>6</xdr:row>
      <xdr:rowOff>114300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38100</xdr:colOff>
      <xdr:row>1</xdr:row>
      <xdr:rowOff>0</xdr:rowOff>
    </xdr:from>
    <xdr:to>
      <xdr:col>24</xdr:col>
      <xdr:colOff>585789</xdr:colOff>
      <xdr:row>9</xdr:row>
      <xdr:rowOff>95251</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304800</xdr:colOff>
      <xdr:row>1</xdr:row>
      <xdr:rowOff>0</xdr:rowOff>
    </xdr:from>
    <xdr:to>
      <xdr:col>23</xdr:col>
      <xdr:colOff>166689</xdr:colOff>
      <xdr:row>5</xdr:row>
      <xdr:rowOff>57150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466725</xdr:colOff>
      <xdr:row>3</xdr:row>
      <xdr:rowOff>133350</xdr:rowOff>
    </xdr:from>
    <xdr:to>
      <xdr:col>21</xdr:col>
      <xdr:colOff>433389</xdr:colOff>
      <xdr:row>8</xdr:row>
      <xdr:rowOff>171450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27</xdr:col>
      <xdr:colOff>38099</xdr:colOff>
      <xdr:row>0</xdr:row>
      <xdr:rowOff>190500</xdr:rowOff>
    </xdr:from>
    <xdr:to>
      <xdr:col>50</xdr:col>
      <xdr:colOff>104774</xdr:colOff>
      <xdr:row>24</xdr:row>
      <xdr:rowOff>123825</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1233487</xdr:colOff>
      <xdr:row>40</xdr:row>
      <xdr:rowOff>47625</xdr:rowOff>
    </xdr:from>
    <xdr:to>
      <xdr:col>16</xdr:col>
      <xdr:colOff>542925</xdr:colOff>
      <xdr:row>59</xdr:row>
      <xdr:rowOff>195262</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ln_IOWA_pp_Table" displayName="Vln_IOWA_pp_Table" ref="A1:F37" headerRowDxfId="31" dataDxfId="30" totalsRowDxfId="29">
  <tableColumns count="6">
    <tableColumn id="1" xr3:uid="{00000000-0010-0000-0000-000001000000}" name="Instrument" dataDxfId="28"/>
    <tableColumn id="2" xr3:uid="{00000000-0010-0000-0000-000002000000}" name="Collection" dataDxfId="27"/>
    <tableColumn id="3" xr3:uid="{00000000-0010-0000-0000-000003000000}" name="Technique/state" dataDxfId="26"/>
    <tableColumn id="4" xr3:uid="{00000000-0010-0000-0000-000004000000}" name="Dynamic" dataDxfId="25"/>
    <tableColumn id="5" xr3:uid="{00000000-0010-0000-0000-000005000000}" name="Source note" dataDxfId="24"/>
    <tableColumn id="7" xr3:uid="{00000000-0010-0000-0000-000007000000}" name="Combined density metric"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ln_IOWA_mf_Table" displayName="Vln_IOWA_mf_Table" ref="A1:F37" headerRowDxfId="22" dataDxfId="21" totalsRowDxfId="20">
  <tableColumns count="6">
    <tableColumn id="1" xr3:uid="{00000000-0010-0000-0100-000001000000}" name="Instrument" dataDxfId="19"/>
    <tableColumn id="2" xr3:uid="{00000000-0010-0000-0100-000002000000}" name="Collection" dataDxfId="18"/>
    <tableColumn id="3" xr3:uid="{00000000-0010-0000-0100-000003000000}" name="Technique/state" dataDxfId="17"/>
    <tableColumn id="4" xr3:uid="{00000000-0010-0000-0100-000004000000}" name="Dynamic" dataDxfId="16"/>
    <tableColumn id="5" xr3:uid="{00000000-0010-0000-0100-000005000000}" name="Source note" dataDxfId="15"/>
    <tableColumn id="7" xr3:uid="{00000000-0010-0000-0100-000007000000}" name="Combined density metric"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ln_IOWA_ff_Table" displayName="Vln_IOWA_ff_Table" ref="A1:F37" headerRowDxfId="13" dataDxfId="12" totalsRowDxfId="11">
  <tableColumns count="6">
    <tableColumn id="1" xr3:uid="{00000000-0010-0000-0200-000001000000}" name="Instrument" dataDxfId="10"/>
    <tableColumn id="2" xr3:uid="{00000000-0010-0000-0200-000002000000}" name="Collection" dataDxfId="9"/>
    <tableColumn id="3" xr3:uid="{00000000-0010-0000-0200-000003000000}" name="Technique/state" dataDxfId="8"/>
    <tableColumn id="4" xr3:uid="{00000000-0010-0000-0200-000004000000}" name="Dynamic" dataDxfId="7"/>
    <tableColumn id="5" xr3:uid="{00000000-0010-0000-0200-000005000000}" name="Source note" dataDxfId="6"/>
    <tableColumn id="7" xr3:uid="{00000000-0010-0000-0200-000007000000}" name="Combined density metric"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ZenodoFileMetadataTable" displayName="ZenodoFileMetadataTable" ref="A1:B15" headerRowDxfId="4" dataDxfId="3" totalsRowDxfId="2">
  <tableColumns count="2">
    <tableColumn id="1" xr3:uid="{00000000-0010-0000-0300-000001000000}" name="field" dataDxfId="1"/>
    <tableColumn id="2" xr3:uid="{00000000-0010-0000-0300-000002000000}" name="value"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workbookViewId="0"/>
  </sheetViews>
  <sheetFormatPr defaultRowHeight="14.25"/>
  <cols>
    <col min="1" max="1" width="7.5" customWidth="1"/>
    <col min="2" max="2" width="12.5" customWidth="1"/>
    <col min="3" max="6" width="33.375" customWidth="1"/>
  </cols>
  <sheetData>
    <row r="1" spans="1:6" ht="15" customHeight="1">
      <c r="A1" s="18" t="s">
        <v>75</v>
      </c>
      <c r="B1" s="18" t="s">
        <v>76</v>
      </c>
      <c r="C1" s="18" t="s">
        <v>77</v>
      </c>
      <c r="D1" s="18" t="s">
        <v>78</v>
      </c>
      <c r="E1" s="18" t="s">
        <v>79</v>
      </c>
      <c r="F1" s="18" t="s">
        <v>80</v>
      </c>
    </row>
    <row r="2" spans="1:6">
      <c r="A2">
        <v>3</v>
      </c>
      <c r="B2" s="19">
        <v>46191</v>
      </c>
      <c r="C2" t="s">
        <v>81</v>
      </c>
      <c r="D2" t="s">
        <v>82</v>
      </c>
      <c r="E2" t="s">
        <v>83</v>
      </c>
      <c r="F2" t="s">
        <v>84</v>
      </c>
    </row>
    <row r="3" spans="1:6">
      <c r="A3">
        <v>4</v>
      </c>
      <c r="B3" s="19">
        <v>46191</v>
      </c>
      <c r="C3" t="s">
        <v>85</v>
      </c>
      <c r="D3" t="s">
        <v>86</v>
      </c>
      <c r="E3" t="s">
        <v>87</v>
      </c>
      <c r="F3" t="s">
        <v>88</v>
      </c>
    </row>
    <row r="4" spans="1:6">
      <c r="A4">
        <v>5</v>
      </c>
      <c r="B4" s="19">
        <v>46191</v>
      </c>
      <c r="C4" t="s">
        <v>89</v>
      </c>
      <c r="D4" t="s">
        <v>90</v>
      </c>
      <c r="E4" t="s">
        <v>91</v>
      </c>
      <c r="F4" t="s">
        <v>92</v>
      </c>
    </row>
    <row r="5" spans="1:6">
      <c r="A5">
        <v>6</v>
      </c>
      <c r="B5" s="19">
        <v>46191</v>
      </c>
      <c r="C5" t="s">
        <v>93</v>
      </c>
      <c r="D5" t="s">
        <v>94</v>
      </c>
      <c r="E5" t="s">
        <v>95</v>
      </c>
      <c r="F5" t="s">
        <v>96</v>
      </c>
    </row>
    <row r="6" spans="1:6">
      <c r="A6">
        <v>7</v>
      </c>
      <c r="B6" t="s">
        <v>97</v>
      </c>
      <c r="C6" t="s">
        <v>98</v>
      </c>
      <c r="D6" t="s">
        <v>99</v>
      </c>
      <c r="E6" t="s">
        <v>100</v>
      </c>
      <c r="F6" t="s">
        <v>101</v>
      </c>
    </row>
    <row r="7" spans="1:6">
      <c r="A7">
        <v>8</v>
      </c>
      <c r="B7" t="s">
        <v>102</v>
      </c>
      <c r="C7" t="s">
        <v>98</v>
      </c>
      <c r="D7" t="s">
        <v>99</v>
      </c>
      <c r="E7" t="s">
        <v>100</v>
      </c>
      <c r="F7"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59999389629810485"/>
  </sheetPr>
  <dimension ref="A1:M37"/>
  <sheetViews>
    <sheetView workbookViewId="0">
      <selection activeCell="L29" sqref="L29"/>
    </sheetView>
  </sheetViews>
  <sheetFormatPr defaultColWidth="12.25" defaultRowHeight="15.75" customHeight="1"/>
  <cols>
    <col min="1" max="1" width="8.625" style="3" bestFit="1" customWidth="1"/>
    <col min="2" max="2" width="7.875" style="3" bestFit="1" customWidth="1"/>
    <col min="3" max="3" width="12.25" style="3" customWidth="1"/>
    <col min="4" max="4" width="7" style="3" bestFit="1" customWidth="1"/>
    <col min="5" max="5" width="9.5" style="3" bestFit="1" customWidth="1"/>
    <col min="6" max="6" width="3.5" style="3" customWidth="1"/>
    <col min="7" max="7" width="4.875" style="3" bestFit="1" customWidth="1"/>
    <col min="8" max="8" width="10.625" style="3" customWidth="1"/>
    <col min="9" max="9" width="14.5" style="3" bestFit="1" customWidth="1"/>
    <col min="10" max="10" width="12.25" style="3" customWidth="1"/>
    <col min="11" max="11" width="14.25" style="3" customWidth="1"/>
    <col min="12" max="12" width="8.375" style="3" bestFit="1" customWidth="1"/>
    <col min="13" max="13" width="35.25" style="3" bestFit="1" customWidth="1"/>
    <col min="14" max="18" width="12.25" style="3" customWidth="1"/>
    <col min="19" max="16384" width="12.25" style="3"/>
  </cols>
  <sheetData>
    <row r="1" spans="1:9" ht="15.75" customHeight="1">
      <c r="A1" s="1" t="s">
        <v>103</v>
      </c>
      <c r="B1" s="1" t="s">
        <v>104</v>
      </c>
      <c r="C1" s="1" t="s">
        <v>105</v>
      </c>
      <c r="D1" s="1" t="s">
        <v>106</v>
      </c>
      <c r="E1" s="1" t="s">
        <v>107</v>
      </c>
      <c r="F1" s="4"/>
      <c r="G1" s="4" t="s">
        <v>108</v>
      </c>
      <c r="H1" s="4" t="s">
        <v>109</v>
      </c>
      <c r="I1" t="s">
        <v>110</v>
      </c>
    </row>
    <row r="2" spans="1:9" ht="15.75" customHeight="1">
      <c r="A2" s="13" t="s">
        <v>111</v>
      </c>
      <c r="B2" s="13" t="s">
        <v>112</v>
      </c>
      <c r="C2" s="13" t="s">
        <v>113</v>
      </c>
      <c r="D2" s="13" t="s">
        <v>114</v>
      </c>
      <c r="E2" s="13" t="s">
        <v>40</v>
      </c>
      <c r="F2" s="65"/>
      <c r="G2" s="13" t="s">
        <v>40</v>
      </c>
      <c r="H2" s="73">
        <v>16.876076135372639</v>
      </c>
      <c r="I2" s="49" t="s">
        <v>115</v>
      </c>
    </row>
    <row r="3" spans="1:9" ht="15.75" customHeight="1">
      <c r="A3" s="14" t="s">
        <v>111</v>
      </c>
      <c r="B3" s="14" t="s">
        <v>112</v>
      </c>
      <c r="C3" s="14" t="s">
        <v>113</v>
      </c>
      <c r="D3" s="14" t="s">
        <v>114</v>
      </c>
      <c r="E3" s="15" t="s">
        <v>41</v>
      </c>
      <c r="F3" s="65"/>
      <c r="G3" s="14" t="s">
        <v>41</v>
      </c>
      <c r="H3" s="74">
        <v>15.847196834589081</v>
      </c>
      <c r="I3" s="49" t="s">
        <v>115</v>
      </c>
    </row>
    <row r="4" spans="1:9" ht="14.25" customHeight="1">
      <c r="A4" s="13" t="s">
        <v>111</v>
      </c>
      <c r="B4" s="13" t="s">
        <v>112</v>
      </c>
      <c r="C4" s="13" t="s">
        <v>113</v>
      </c>
      <c r="D4" s="13" t="s">
        <v>114</v>
      </c>
      <c r="E4" s="13" t="s">
        <v>42</v>
      </c>
      <c r="F4" s="65"/>
      <c r="G4" s="13" t="s">
        <v>42</v>
      </c>
      <c r="H4" s="74">
        <v>15.658505295300779</v>
      </c>
      <c r="I4" s="49" t="s">
        <v>115</v>
      </c>
    </row>
    <row r="5" spans="1:9" ht="15.75" customHeight="1">
      <c r="A5" s="14" t="s">
        <v>111</v>
      </c>
      <c r="B5" s="14" t="s">
        <v>112</v>
      </c>
      <c r="C5" s="15" t="s">
        <v>113</v>
      </c>
      <c r="D5" s="15" t="s">
        <v>114</v>
      </c>
      <c r="E5" s="15" t="s">
        <v>43</v>
      </c>
      <c r="F5" s="65"/>
      <c r="G5" s="15" t="s">
        <v>43</v>
      </c>
      <c r="H5" s="74">
        <v>17.079848612595288</v>
      </c>
      <c r="I5" s="49" t="s">
        <v>115</v>
      </c>
    </row>
    <row r="6" spans="1:9" ht="15.75" customHeight="1">
      <c r="A6" s="13" t="s">
        <v>111</v>
      </c>
      <c r="B6" s="13" t="s">
        <v>112</v>
      </c>
      <c r="C6" s="13" t="s">
        <v>113</v>
      </c>
      <c r="D6" s="13" t="s">
        <v>114</v>
      </c>
      <c r="E6" s="13" t="s">
        <v>44</v>
      </c>
      <c r="F6" s="65"/>
      <c r="G6" s="13" t="s">
        <v>44</v>
      </c>
      <c r="H6" s="74">
        <v>16.051710644063849</v>
      </c>
      <c r="I6" s="49" t="s">
        <v>115</v>
      </c>
    </row>
    <row r="7" spans="1:9" ht="15.75" customHeight="1">
      <c r="A7" s="14" t="s">
        <v>111</v>
      </c>
      <c r="B7" s="14" t="s">
        <v>112</v>
      </c>
      <c r="C7" s="15" t="s">
        <v>113</v>
      </c>
      <c r="D7" s="15" t="s">
        <v>114</v>
      </c>
      <c r="E7" s="15" t="s">
        <v>45</v>
      </c>
      <c r="F7" s="65"/>
      <c r="G7" s="15" t="s">
        <v>45</v>
      </c>
      <c r="H7" s="74">
        <v>16.15252187636607</v>
      </c>
      <c r="I7" s="49" t="s">
        <v>115</v>
      </c>
    </row>
    <row r="8" spans="1:9" ht="15.75" customHeight="1">
      <c r="A8" s="13" t="s">
        <v>111</v>
      </c>
      <c r="B8" s="13" t="s">
        <v>112</v>
      </c>
      <c r="C8" s="13" t="s">
        <v>113</v>
      </c>
      <c r="D8" s="13" t="s">
        <v>114</v>
      </c>
      <c r="E8" s="13" t="s">
        <v>46</v>
      </c>
      <c r="F8" s="65"/>
      <c r="G8" s="13" t="s">
        <v>46</v>
      </c>
      <c r="H8" s="74">
        <v>12.6470306347739</v>
      </c>
      <c r="I8" s="49" t="s">
        <v>115</v>
      </c>
    </row>
    <row r="9" spans="1:9" ht="15.75" customHeight="1">
      <c r="A9" s="14" t="s">
        <v>111</v>
      </c>
      <c r="B9" s="14" t="s">
        <v>112</v>
      </c>
      <c r="C9" s="15" t="s">
        <v>113</v>
      </c>
      <c r="D9" s="15" t="s">
        <v>114</v>
      </c>
      <c r="E9" s="15" t="s">
        <v>47</v>
      </c>
      <c r="F9" s="65"/>
      <c r="G9" s="15" t="s">
        <v>47</v>
      </c>
      <c r="H9" s="75">
        <v>14.204242118607549</v>
      </c>
      <c r="I9" s="49" t="s">
        <v>115</v>
      </c>
    </row>
    <row r="10" spans="1:9" ht="14.25" customHeight="1">
      <c r="A10" s="13" t="s">
        <v>111</v>
      </c>
      <c r="B10" s="13" t="s">
        <v>112</v>
      </c>
      <c r="C10" s="13" t="s">
        <v>113</v>
      </c>
      <c r="D10" s="13" t="s">
        <v>114</v>
      </c>
      <c r="E10" s="13" t="s">
        <v>48</v>
      </c>
      <c r="F10" s="65"/>
      <c r="G10" s="13" t="s">
        <v>48</v>
      </c>
      <c r="H10" s="75">
        <v>13.83704161393217</v>
      </c>
      <c r="I10" s="49" t="s">
        <v>115</v>
      </c>
    </row>
    <row r="11" spans="1:9" ht="15.75" customHeight="1">
      <c r="A11" s="14" t="s">
        <v>111</v>
      </c>
      <c r="B11" s="14" t="s">
        <v>112</v>
      </c>
      <c r="C11" s="15" t="s">
        <v>113</v>
      </c>
      <c r="D11" s="15" t="s">
        <v>114</v>
      </c>
      <c r="E11" s="15" t="s">
        <v>49</v>
      </c>
      <c r="F11" s="65"/>
      <c r="G11" s="15" t="s">
        <v>49</v>
      </c>
      <c r="H11" s="75">
        <v>14.221466992242391</v>
      </c>
      <c r="I11" s="49" t="s">
        <v>115</v>
      </c>
    </row>
    <row r="12" spans="1:9" ht="15.75" customHeight="1">
      <c r="A12" s="13" t="s">
        <v>111</v>
      </c>
      <c r="B12" s="13" t="s">
        <v>112</v>
      </c>
      <c r="C12" s="13" t="s">
        <v>113</v>
      </c>
      <c r="D12" s="13" t="s">
        <v>114</v>
      </c>
      <c r="E12" s="13" t="s">
        <v>50</v>
      </c>
      <c r="F12" s="65"/>
      <c r="G12" s="13" t="s">
        <v>50</v>
      </c>
      <c r="H12" s="75">
        <v>14.485140757541229</v>
      </c>
      <c r="I12" s="49" t="s">
        <v>115</v>
      </c>
    </row>
    <row r="13" spans="1:9" ht="15.75" customHeight="1">
      <c r="A13" s="14" t="s">
        <v>111</v>
      </c>
      <c r="B13" s="14" t="s">
        <v>112</v>
      </c>
      <c r="C13" s="15" t="s">
        <v>113</v>
      </c>
      <c r="D13" s="15" t="s">
        <v>114</v>
      </c>
      <c r="E13" s="15" t="s">
        <v>51</v>
      </c>
      <c r="F13" s="65"/>
      <c r="G13" s="15" t="s">
        <v>51</v>
      </c>
      <c r="H13" s="76">
        <v>15.46551834188435</v>
      </c>
      <c r="I13" s="49" t="s">
        <v>115</v>
      </c>
    </row>
    <row r="14" spans="1:9" ht="15.75" customHeight="1">
      <c r="A14" s="13" t="s">
        <v>111</v>
      </c>
      <c r="B14" s="13" t="s">
        <v>112</v>
      </c>
      <c r="C14" s="13" t="s">
        <v>113</v>
      </c>
      <c r="D14" s="13" t="s">
        <v>114</v>
      </c>
      <c r="E14" s="13" t="s">
        <v>52</v>
      </c>
      <c r="F14" s="65"/>
      <c r="G14" s="13" t="s">
        <v>52</v>
      </c>
      <c r="H14" s="76">
        <v>14.30620220363423</v>
      </c>
      <c r="I14" s="49" t="s">
        <v>115</v>
      </c>
    </row>
    <row r="15" spans="1:9" ht="15.75" customHeight="1">
      <c r="A15" s="14" t="s">
        <v>111</v>
      </c>
      <c r="B15" s="14" t="s">
        <v>112</v>
      </c>
      <c r="C15" s="15" t="s">
        <v>113</v>
      </c>
      <c r="D15" s="15" t="s">
        <v>114</v>
      </c>
      <c r="E15" s="15" t="s">
        <v>53</v>
      </c>
      <c r="F15" s="65"/>
      <c r="G15" s="15" t="s">
        <v>53</v>
      </c>
      <c r="H15" s="76">
        <v>14.07993894494482</v>
      </c>
      <c r="I15" s="49" t="s">
        <v>115</v>
      </c>
    </row>
    <row r="16" spans="1:9" ht="15.75" customHeight="1">
      <c r="A16" s="13" t="s">
        <v>111</v>
      </c>
      <c r="B16" s="13" t="s">
        <v>112</v>
      </c>
      <c r="C16" s="13" t="s">
        <v>113</v>
      </c>
      <c r="D16" s="13" t="s">
        <v>114</v>
      </c>
      <c r="E16" s="13" t="s">
        <v>54</v>
      </c>
      <c r="F16" s="65"/>
      <c r="G16" s="13" t="s">
        <v>54</v>
      </c>
      <c r="H16" s="76">
        <v>14.28394214336506</v>
      </c>
      <c r="I16" s="49" t="s">
        <v>115</v>
      </c>
    </row>
    <row r="17" spans="1:13" ht="15.75" customHeight="1">
      <c r="A17" s="14" t="s">
        <v>111</v>
      </c>
      <c r="B17" s="14" t="s">
        <v>112</v>
      </c>
      <c r="C17" s="15" t="s">
        <v>113</v>
      </c>
      <c r="D17" s="15" t="s">
        <v>114</v>
      </c>
      <c r="E17" s="15" t="s">
        <v>55</v>
      </c>
      <c r="F17" s="65"/>
      <c r="G17" s="15" t="s">
        <v>55</v>
      </c>
      <c r="H17" s="76">
        <v>11.651987691910641</v>
      </c>
      <c r="I17" s="49" t="s">
        <v>115</v>
      </c>
    </row>
    <row r="18" spans="1:13" ht="15.75" customHeight="1">
      <c r="A18" s="13" t="s">
        <v>111</v>
      </c>
      <c r="B18" s="13" t="s">
        <v>112</v>
      </c>
      <c r="C18" s="13" t="s">
        <v>113</v>
      </c>
      <c r="D18" s="13" t="s">
        <v>114</v>
      </c>
      <c r="E18" s="13" t="s">
        <v>56</v>
      </c>
      <c r="F18" s="65"/>
      <c r="G18" s="13" t="s">
        <v>56</v>
      </c>
      <c r="H18" s="76">
        <v>11.88660038468584</v>
      </c>
      <c r="I18" s="49" t="s">
        <v>115</v>
      </c>
    </row>
    <row r="19" spans="1:13" ht="15.75" customHeight="1">
      <c r="A19" s="14" t="s">
        <v>111</v>
      </c>
      <c r="B19" s="14" t="s">
        <v>112</v>
      </c>
      <c r="C19" s="15" t="s">
        <v>113</v>
      </c>
      <c r="D19" s="15" t="s">
        <v>114</v>
      </c>
      <c r="E19" s="15" t="s">
        <v>57</v>
      </c>
      <c r="F19" s="65"/>
      <c r="G19" s="15" t="s">
        <v>57</v>
      </c>
      <c r="H19" s="76">
        <v>9.1579532988958672</v>
      </c>
      <c r="I19" s="49" t="s">
        <v>115</v>
      </c>
    </row>
    <row r="20" spans="1:13" ht="15.75" customHeight="1">
      <c r="A20" s="13" t="s">
        <v>111</v>
      </c>
      <c r="B20" s="13" t="s">
        <v>112</v>
      </c>
      <c r="C20" s="13" t="s">
        <v>113</v>
      </c>
      <c r="D20" s="13" t="s">
        <v>114</v>
      </c>
      <c r="E20" s="13" t="s">
        <v>58</v>
      </c>
      <c r="F20" s="65"/>
      <c r="G20" s="13" t="s">
        <v>58</v>
      </c>
      <c r="H20" s="76">
        <v>9.1493095751302125</v>
      </c>
      <c r="I20" s="49" t="s">
        <v>115</v>
      </c>
    </row>
    <row r="21" spans="1:13" ht="12.75" customHeight="1">
      <c r="A21" s="14" t="s">
        <v>111</v>
      </c>
      <c r="B21" s="14" t="s">
        <v>112</v>
      </c>
      <c r="C21" s="15" t="s">
        <v>113</v>
      </c>
      <c r="D21" s="15" t="s">
        <v>114</v>
      </c>
      <c r="E21" s="15" t="s">
        <v>59</v>
      </c>
      <c r="F21" s="65"/>
      <c r="G21" s="15" t="s">
        <v>59</v>
      </c>
      <c r="H21" s="76">
        <v>9.5562564593110864</v>
      </c>
      <c r="I21" s="49" t="s">
        <v>115</v>
      </c>
    </row>
    <row r="22" spans="1:13" ht="15.75" customHeight="1">
      <c r="A22" s="13" t="s">
        <v>111</v>
      </c>
      <c r="B22" s="13" t="s">
        <v>112</v>
      </c>
      <c r="C22" s="13" t="s">
        <v>113</v>
      </c>
      <c r="D22" s="13" t="s">
        <v>114</v>
      </c>
      <c r="E22" s="13" t="s">
        <v>60</v>
      </c>
      <c r="F22" s="65"/>
      <c r="G22" s="13" t="s">
        <v>60</v>
      </c>
      <c r="H22" s="76">
        <v>9.3415390502220284</v>
      </c>
      <c r="I22" s="49" t="s">
        <v>115</v>
      </c>
    </row>
    <row r="23" spans="1:13" s="16" customFormat="1" ht="15.75" customHeight="1">
      <c r="A23" s="15" t="s">
        <v>111</v>
      </c>
      <c r="B23" s="13" t="s">
        <v>112</v>
      </c>
      <c r="C23" s="15" t="s">
        <v>113</v>
      </c>
      <c r="D23" s="15" t="s">
        <v>114</v>
      </c>
      <c r="E23" s="15" t="s">
        <v>61</v>
      </c>
      <c r="F23" s="65"/>
      <c r="G23" s="15" t="s">
        <v>61</v>
      </c>
      <c r="H23" s="77">
        <v>8.4387869999999996</v>
      </c>
      <c r="I23" s="67" t="s">
        <v>322</v>
      </c>
      <c r="J23" s="3"/>
      <c r="K23" s="3"/>
      <c r="L23" s="3"/>
      <c r="M23" s="3"/>
    </row>
    <row r="24" spans="1:13" s="16" customFormat="1" ht="15.75" customHeight="1">
      <c r="A24" s="13" t="s">
        <v>111</v>
      </c>
      <c r="B24" s="13" t="s">
        <v>112</v>
      </c>
      <c r="C24" s="13" t="s">
        <v>113</v>
      </c>
      <c r="D24" s="13" t="s">
        <v>114</v>
      </c>
      <c r="E24" s="13" t="s">
        <v>62</v>
      </c>
      <c r="F24" s="65"/>
      <c r="G24" s="13" t="s">
        <v>62</v>
      </c>
      <c r="H24" s="77">
        <v>7.8561329999999998</v>
      </c>
      <c r="I24" s="67" t="s">
        <v>322</v>
      </c>
      <c r="J24" s="3"/>
      <c r="K24" s="3"/>
      <c r="L24" s="3"/>
      <c r="M24" s="3"/>
    </row>
    <row r="25" spans="1:13" s="16" customFormat="1" ht="15.75" customHeight="1">
      <c r="A25" s="15" t="s">
        <v>111</v>
      </c>
      <c r="B25" s="13" t="s">
        <v>112</v>
      </c>
      <c r="C25" s="15" t="s">
        <v>113</v>
      </c>
      <c r="D25" s="15" t="s">
        <v>114</v>
      </c>
      <c r="E25" s="15" t="s">
        <v>63</v>
      </c>
      <c r="F25" s="65"/>
      <c r="G25" s="15" t="s">
        <v>63</v>
      </c>
      <c r="H25" s="77">
        <v>7.2809860000000004</v>
      </c>
      <c r="I25" s="67" t="s">
        <v>322</v>
      </c>
      <c r="J25" s="3"/>
      <c r="K25" s="3"/>
      <c r="L25" s="3"/>
      <c r="M25" s="3"/>
    </row>
    <row r="26" spans="1:13" s="16" customFormat="1" ht="15.75" customHeight="1">
      <c r="A26" s="13" t="s">
        <v>111</v>
      </c>
      <c r="B26" s="13" t="s">
        <v>112</v>
      </c>
      <c r="C26" s="13" t="s">
        <v>113</v>
      </c>
      <c r="D26" s="13" t="s">
        <v>114</v>
      </c>
      <c r="E26" s="13" t="s">
        <v>64</v>
      </c>
      <c r="F26" s="65"/>
      <c r="G26" s="13" t="s">
        <v>64</v>
      </c>
      <c r="H26" s="77">
        <v>6.7170779999999999</v>
      </c>
      <c r="I26" s="67" t="s">
        <v>322</v>
      </c>
      <c r="J26" s="3"/>
      <c r="K26" s="3"/>
      <c r="L26" s="3"/>
      <c r="M26" s="3"/>
    </row>
    <row r="27" spans="1:13" s="16" customFormat="1" ht="15.75" customHeight="1">
      <c r="A27" s="15" t="s">
        <v>111</v>
      </c>
      <c r="B27" s="15" t="s">
        <v>112</v>
      </c>
      <c r="C27" s="15" t="s">
        <v>113</v>
      </c>
      <c r="D27" s="15" t="s">
        <v>120</v>
      </c>
      <c r="E27" s="15" t="s">
        <v>65</v>
      </c>
      <c r="F27" s="65"/>
      <c r="G27" s="15" t="s">
        <v>65</v>
      </c>
      <c r="H27" s="78">
        <v>6.167878</v>
      </c>
      <c r="I27" s="67" t="s">
        <v>322</v>
      </c>
      <c r="J27" s="3"/>
      <c r="K27" s="3"/>
      <c r="L27" s="3"/>
      <c r="M27" s="3"/>
    </row>
    <row r="28" spans="1:13" s="16" customFormat="1" ht="15.75" customHeight="1">
      <c r="A28" s="13" t="s">
        <v>111</v>
      </c>
      <c r="B28" s="13" t="s">
        <v>112</v>
      </c>
      <c r="C28" s="13" t="s">
        <v>113</v>
      </c>
      <c r="D28" s="13" t="s">
        <v>120</v>
      </c>
      <c r="E28" s="13" t="s">
        <v>66</v>
      </c>
      <c r="F28" s="65"/>
      <c r="G28" s="13" t="s">
        <v>66</v>
      </c>
      <c r="H28" s="78">
        <v>5.6365410000000002</v>
      </c>
      <c r="I28" s="67" t="s">
        <v>322</v>
      </c>
      <c r="J28" s="3"/>
      <c r="K28" s="3"/>
      <c r="L28" s="3"/>
      <c r="M28" s="3"/>
    </row>
    <row r="29" spans="1:13" s="16" customFormat="1" ht="15.75" customHeight="1">
      <c r="A29" s="15" t="s">
        <v>111</v>
      </c>
      <c r="B29" s="15" t="s">
        <v>112</v>
      </c>
      <c r="C29" s="15" t="s">
        <v>113</v>
      </c>
      <c r="D29" s="15" t="s">
        <v>120</v>
      </c>
      <c r="E29" s="15" t="s">
        <v>67</v>
      </c>
      <c r="F29" s="65"/>
      <c r="G29" s="15" t="s">
        <v>67</v>
      </c>
      <c r="H29" s="78">
        <v>5.1258699999999999</v>
      </c>
      <c r="I29" s="67" t="s">
        <v>322</v>
      </c>
      <c r="J29" s="3"/>
      <c r="K29" s="3"/>
      <c r="L29" s="3"/>
      <c r="M29" s="3"/>
    </row>
    <row r="30" spans="1:13" s="16" customFormat="1" ht="15.75" customHeight="1">
      <c r="A30" s="13" t="s">
        <v>111</v>
      </c>
      <c r="B30" s="13" t="s">
        <v>112</v>
      </c>
      <c r="C30" s="13" t="s">
        <v>113</v>
      </c>
      <c r="D30" s="13" t="s">
        <v>120</v>
      </c>
      <c r="E30" s="13" t="s">
        <v>68</v>
      </c>
      <c r="F30" s="65"/>
      <c r="G30" s="13" t="s">
        <v>68</v>
      </c>
      <c r="H30" s="78">
        <v>4.6382770000000004</v>
      </c>
      <c r="I30" s="67" t="s">
        <v>322</v>
      </c>
      <c r="J30" s="3"/>
      <c r="K30" s="3"/>
      <c r="L30" s="3"/>
      <c r="M30" s="3"/>
    </row>
    <row r="31" spans="1:13" s="16" customFormat="1" ht="15.75" customHeight="1">
      <c r="A31" s="15" t="s">
        <v>111</v>
      </c>
      <c r="B31" s="15" t="s">
        <v>112</v>
      </c>
      <c r="C31" s="15" t="s">
        <v>113</v>
      </c>
      <c r="D31" s="15" t="s">
        <v>120</v>
      </c>
      <c r="E31" s="15" t="s">
        <v>69</v>
      </c>
      <c r="F31" s="65"/>
      <c r="G31" s="15" t="s">
        <v>69</v>
      </c>
      <c r="H31" s="78">
        <v>4.1757679999999997</v>
      </c>
      <c r="I31" s="67" t="s">
        <v>322</v>
      </c>
      <c r="J31" s="3"/>
      <c r="K31" s="3"/>
      <c r="L31" s="3"/>
      <c r="M31" s="3"/>
    </row>
    <row r="32" spans="1:13" s="16" customFormat="1" ht="15.75" customHeight="1">
      <c r="A32" s="13" t="s">
        <v>111</v>
      </c>
      <c r="B32" s="13" t="s">
        <v>112</v>
      </c>
      <c r="C32" s="13" t="s">
        <v>113</v>
      </c>
      <c r="D32" s="13" t="s">
        <v>120</v>
      </c>
      <c r="E32" s="13" t="s">
        <v>319</v>
      </c>
      <c r="F32" s="65"/>
      <c r="G32" s="13" t="s">
        <v>319</v>
      </c>
      <c r="H32" s="78">
        <v>3.7399269999999998</v>
      </c>
      <c r="I32" s="67" t="s">
        <v>322</v>
      </c>
      <c r="J32" s="3"/>
      <c r="K32" s="3"/>
      <c r="L32" s="3"/>
      <c r="M32" s="3"/>
    </row>
    <row r="33" spans="1:9" ht="15.75" customHeight="1">
      <c r="A33" s="15" t="s">
        <v>111</v>
      </c>
      <c r="B33" s="15" t="s">
        <v>112</v>
      </c>
      <c r="C33" s="15" t="s">
        <v>113</v>
      </c>
      <c r="D33" s="15" t="s">
        <v>120</v>
      </c>
      <c r="E33" s="15" t="s">
        <v>70</v>
      </c>
      <c r="F33" s="65"/>
      <c r="G33" s="15" t="s">
        <v>70</v>
      </c>
      <c r="H33" s="78">
        <v>3.331909</v>
      </c>
      <c r="I33" s="67" t="s">
        <v>322</v>
      </c>
    </row>
    <row r="34" spans="1:9" ht="15.75" customHeight="1">
      <c r="A34" s="13" t="s">
        <v>111</v>
      </c>
      <c r="B34" s="13" t="s">
        <v>112</v>
      </c>
      <c r="C34" s="13" t="s">
        <v>113</v>
      </c>
      <c r="D34" s="13" t="s">
        <v>120</v>
      </c>
      <c r="E34" s="13" t="s">
        <v>71</v>
      </c>
      <c r="F34" s="65"/>
      <c r="G34" s="13" t="s">
        <v>71</v>
      </c>
      <c r="H34" s="78">
        <v>2.9524509999999999</v>
      </c>
      <c r="I34" s="67" t="s">
        <v>322</v>
      </c>
    </row>
    <row r="35" spans="1:9" ht="15.75" customHeight="1">
      <c r="A35" s="15" t="s">
        <v>111</v>
      </c>
      <c r="B35" s="15" t="s">
        <v>112</v>
      </c>
      <c r="C35" s="15" t="s">
        <v>113</v>
      </c>
      <c r="D35" s="15" t="s">
        <v>120</v>
      </c>
      <c r="E35" s="15" t="s">
        <v>72</v>
      </c>
      <c r="F35" s="65"/>
      <c r="G35" s="15" t="s">
        <v>72</v>
      </c>
      <c r="H35" s="78">
        <v>2.6018870000000001</v>
      </c>
      <c r="I35" s="67" t="s">
        <v>322</v>
      </c>
    </row>
    <row r="36" spans="1:9" ht="15.75" customHeight="1">
      <c r="A36" s="13" t="s">
        <v>111</v>
      </c>
      <c r="B36" s="13" t="s">
        <v>112</v>
      </c>
      <c r="C36" s="13" t="s">
        <v>113</v>
      </c>
      <c r="D36" s="13" t="s">
        <v>120</v>
      </c>
      <c r="E36" s="13" t="s">
        <v>73</v>
      </c>
      <c r="F36" s="65"/>
      <c r="G36" s="13" t="s">
        <v>73</v>
      </c>
      <c r="H36" s="78">
        <v>2.2801659999999999</v>
      </c>
      <c r="I36" s="67" t="s">
        <v>322</v>
      </c>
    </row>
    <row r="37" spans="1:9" ht="15.75" customHeight="1">
      <c r="A37" s="15" t="s">
        <v>111</v>
      </c>
      <c r="B37" s="15" t="s">
        <v>112</v>
      </c>
      <c r="C37" s="15" t="s">
        <v>113</v>
      </c>
      <c r="D37" s="15" t="s">
        <v>120</v>
      </c>
      <c r="E37" s="15" t="s">
        <v>74</v>
      </c>
      <c r="F37" s="65"/>
      <c r="G37" s="15" t="s">
        <v>74</v>
      </c>
      <c r="H37" s="78">
        <v>2.0428600000000001</v>
      </c>
      <c r="I37" s="67" t="s">
        <v>322</v>
      </c>
    </row>
  </sheetData>
  <conditionalFormatting sqref="F2:F28">
    <cfRule type="dataBar" priority="51">
      <dataBar>
        <cfvo type="min"/>
        <cfvo type="max"/>
        <color rgb="FFFFB628"/>
      </dataBar>
    </cfRule>
  </conditionalFormatting>
  <conditionalFormatting sqref="F29:F37">
    <cfRule type="dataBar" priority="2">
      <dataBar>
        <cfvo type="min"/>
        <cfvo type="max"/>
        <color rgb="FFFFB628"/>
      </dataBar>
    </cfRule>
  </conditionalFormatting>
  <conditionalFormatting sqref="H2:H22">
    <cfRule type="dataBar" priority="50">
      <dataBar>
        <cfvo type="min"/>
        <cfvo type="max"/>
        <color rgb="FFFFB628"/>
      </dataBar>
    </cfRule>
  </conditionalFormatting>
  <conditionalFormatting sqref="H2:H37">
    <cfRule type="dataBar" priority="1">
      <dataBar>
        <cfvo type="min"/>
        <cfvo type="max"/>
        <color rgb="FFFFB628"/>
      </dataBar>
      <extLst>
        <ext xmlns:x14="http://schemas.microsoft.com/office/spreadsheetml/2009/9/main" uri="{B025F937-C7B1-47D3-B67F-A62EFF666E3E}">
          <x14:id>{015C59E5-3E9C-48C8-B637-1F6DEC84A3C7}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15C59E5-3E9C-48C8-B637-1F6DEC84A3C7}">
            <x14:dataBar minLength="0" maxLength="100" border="1" negativeBarBorderColorSameAsPositive="0">
              <x14:cfvo type="autoMin"/>
              <x14:cfvo type="autoMax"/>
              <x14:borderColor rgb="FFFFB628"/>
              <x14:negativeFillColor rgb="FFFF0000"/>
              <x14:negativeBorderColor rgb="FFFF0000"/>
              <x14:axisColor rgb="FF000000"/>
            </x14:dataBar>
          </x14:cfRule>
          <xm:sqref>H2:H37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A1:I37"/>
  <sheetViews>
    <sheetView workbookViewId="0">
      <selection activeCell="K27" sqref="K27"/>
    </sheetView>
  </sheetViews>
  <sheetFormatPr defaultColWidth="71.5" defaultRowHeight="14.25" customHeight="1"/>
  <cols>
    <col min="1" max="1" width="8.625" style="3" bestFit="1" customWidth="1"/>
    <col min="2" max="2" width="10" style="3" customWidth="1"/>
    <col min="3" max="3" width="12.25" style="3" bestFit="1" customWidth="1"/>
    <col min="4" max="4" width="12.375" style="3" customWidth="1"/>
    <col min="5" max="5" width="9.5" style="3" bestFit="1" customWidth="1"/>
    <col min="6" max="6" width="3.5" style="3" customWidth="1"/>
    <col min="7" max="7" width="7.5" style="3" customWidth="1"/>
    <col min="8" max="8" width="9.375" style="3" bestFit="1" customWidth="1"/>
    <col min="9" max="9" width="14.5" style="3" bestFit="1" customWidth="1"/>
    <col min="10" max="10" width="12.875" style="3" customWidth="1"/>
    <col min="11" max="14" width="71.5" style="3" customWidth="1"/>
    <col min="15" max="16384" width="71.5" style="3"/>
  </cols>
  <sheetData>
    <row r="1" spans="1:9" ht="14.25" customHeight="1">
      <c r="A1" s="1" t="s">
        <v>103</v>
      </c>
      <c r="B1" s="1" t="s">
        <v>104</v>
      </c>
      <c r="C1" s="1" t="s">
        <v>105</v>
      </c>
      <c r="D1" s="1" t="s">
        <v>106</v>
      </c>
      <c r="E1" s="1" t="s">
        <v>107</v>
      </c>
      <c r="F1" s="4"/>
      <c r="G1" s="4" t="s">
        <v>108</v>
      </c>
      <c r="H1" s="4" t="s">
        <v>109</v>
      </c>
      <c r="I1" t="s">
        <v>110</v>
      </c>
    </row>
    <row r="2" spans="1:9" ht="14.25" customHeight="1">
      <c r="A2" s="21" t="s">
        <v>111</v>
      </c>
      <c r="B2" s="13" t="s">
        <v>112</v>
      </c>
      <c r="C2" s="13" t="s">
        <v>113</v>
      </c>
      <c r="D2" s="13" t="s">
        <v>120</v>
      </c>
      <c r="E2" s="13" t="s">
        <v>40</v>
      </c>
      <c r="F2" s="65"/>
      <c r="G2" s="62" t="s">
        <v>40</v>
      </c>
      <c r="H2" s="63">
        <v>18.562339625761862</v>
      </c>
      <c r="I2" s="53" t="s">
        <v>115</v>
      </c>
    </row>
    <row r="3" spans="1:9" ht="14.25" customHeight="1">
      <c r="A3" s="17" t="s">
        <v>111</v>
      </c>
      <c r="B3" s="14" t="s">
        <v>112</v>
      </c>
      <c r="C3" s="14" t="s">
        <v>113</v>
      </c>
      <c r="D3" s="14" t="s">
        <v>120</v>
      </c>
      <c r="E3" s="15" t="s">
        <v>41</v>
      </c>
      <c r="F3" s="65"/>
      <c r="G3" s="64" t="s">
        <v>41</v>
      </c>
      <c r="H3" s="63">
        <v>17.172174519343649</v>
      </c>
      <c r="I3" s="53" t="s">
        <v>115</v>
      </c>
    </row>
    <row r="4" spans="1:9" ht="14.25" customHeight="1">
      <c r="A4" s="21" t="s">
        <v>111</v>
      </c>
      <c r="B4" s="13" t="s">
        <v>112</v>
      </c>
      <c r="C4" s="13" t="s">
        <v>113</v>
      </c>
      <c r="D4" s="13" t="s">
        <v>120</v>
      </c>
      <c r="E4" s="13" t="s">
        <v>42</v>
      </c>
      <c r="F4" s="65"/>
      <c r="G4" s="62" t="s">
        <v>42</v>
      </c>
      <c r="H4" s="63">
        <v>18.624395287964528</v>
      </c>
      <c r="I4" s="53" t="s">
        <v>115</v>
      </c>
    </row>
    <row r="5" spans="1:9" ht="14.25" customHeight="1">
      <c r="A5" s="17" t="s">
        <v>111</v>
      </c>
      <c r="B5" s="14" t="s">
        <v>112</v>
      </c>
      <c r="C5" s="15" t="s">
        <v>113</v>
      </c>
      <c r="D5" s="14" t="s">
        <v>120</v>
      </c>
      <c r="E5" s="15" t="s">
        <v>43</v>
      </c>
      <c r="F5" s="65"/>
      <c r="G5" s="66" t="s">
        <v>43</v>
      </c>
      <c r="H5" s="63">
        <v>16.75551266620591</v>
      </c>
      <c r="I5" s="53" t="s">
        <v>115</v>
      </c>
    </row>
    <row r="6" spans="1:9" ht="14.25" customHeight="1">
      <c r="A6" s="21" t="s">
        <v>111</v>
      </c>
      <c r="B6" s="13" t="s">
        <v>112</v>
      </c>
      <c r="C6" s="13" t="s">
        <v>113</v>
      </c>
      <c r="D6" s="13" t="s">
        <v>120</v>
      </c>
      <c r="E6" s="13" t="s">
        <v>44</v>
      </c>
      <c r="F6" s="65"/>
      <c r="G6" s="62" t="s">
        <v>44</v>
      </c>
      <c r="H6" s="63">
        <v>15.251032910966069</v>
      </c>
      <c r="I6" s="53" t="s">
        <v>115</v>
      </c>
    </row>
    <row r="7" spans="1:9" ht="14.25" customHeight="1">
      <c r="A7" s="17" t="s">
        <v>111</v>
      </c>
      <c r="B7" s="14" t="s">
        <v>112</v>
      </c>
      <c r="C7" s="15" t="s">
        <v>113</v>
      </c>
      <c r="D7" s="14" t="s">
        <v>120</v>
      </c>
      <c r="E7" s="15" t="s">
        <v>45</v>
      </c>
      <c r="F7" s="65"/>
      <c r="G7" s="66" t="s">
        <v>45</v>
      </c>
      <c r="H7" s="63">
        <v>16.561548332273109</v>
      </c>
      <c r="I7" s="53" t="s">
        <v>115</v>
      </c>
    </row>
    <row r="8" spans="1:9" ht="14.25" customHeight="1">
      <c r="A8" s="21" t="s">
        <v>111</v>
      </c>
      <c r="B8" s="13" t="s">
        <v>112</v>
      </c>
      <c r="C8" s="13" t="s">
        <v>113</v>
      </c>
      <c r="D8" s="13" t="s">
        <v>120</v>
      </c>
      <c r="E8" s="13" t="s">
        <v>46</v>
      </c>
      <c r="F8" s="65"/>
      <c r="G8" s="62" t="s">
        <v>46</v>
      </c>
      <c r="H8" s="63">
        <v>14.62034704878482</v>
      </c>
      <c r="I8" s="53" t="s">
        <v>115</v>
      </c>
    </row>
    <row r="9" spans="1:9" ht="14.25" customHeight="1">
      <c r="A9" s="17" t="s">
        <v>111</v>
      </c>
      <c r="B9" s="14" t="s">
        <v>112</v>
      </c>
      <c r="C9" s="15" t="s">
        <v>113</v>
      </c>
      <c r="D9" s="14" t="s">
        <v>120</v>
      </c>
      <c r="E9" s="15" t="s">
        <v>47</v>
      </c>
      <c r="F9" s="65"/>
      <c r="G9" s="66" t="s">
        <v>47</v>
      </c>
      <c r="H9" s="63">
        <v>14.307194461206921</v>
      </c>
      <c r="I9" s="53" t="s">
        <v>115</v>
      </c>
    </row>
    <row r="10" spans="1:9" ht="14.25" customHeight="1">
      <c r="A10" s="21" t="s">
        <v>111</v>
      </c>
      <c r="B10" s="13" t="s">
        <v>112</v>
      </c>
      <c r="C10" s="13" t="s">
        <v>113</v>
      </c>
      <c r="D10" s="13" t="s">
        <v>120</v>
      </c>
      <c r="E10" s="13" t="s">
        <v>48</v>
      </c>
      <c r="F10" s="65"/>
      <c r="G10" s="62" t="s">
        <v>48</v>
      </c>
      <c r="H10" s="63">
        <v>13.63322441414557</v>
      </c>
      <c r="I10" s="53" t="s">
        <v>115</v>
      </c>
    </row>
    <row r="11" spans="1:9" ht="14.25" customHeight="1">
      <c r="A11" s="17" t="s">
        <v>111</v>
      </c>
      <c r="B11" s="14" t="s">
        <v>112</v>
      </c>
      <c r="C11" s="15" t="s">
        <v>113</v>
      </c>
      <c r="D11" s="14" t="s">
        <v>120</v>
      </c>
      <c r="E11" s="15" t="s">
        <v>49</v>
      </c>
      <c r="F11" s="65"/>
      <c r="G11" s="66" t="s">
        <v>49</v>
      </c>
      <c r="H11" s="63">
        <v>13.324422069759001</v>
      </c>
      <c r="I11" s="53" t="s">
        <v>115</v>
      </c>
    </row>
    <row r="12" spans="1:9" ht="14.25" customHeight="1">
      <c r="A12" s="21" t="s">
        <v>111</v>
      </c>
      <c r="B12" s="13" t="s">
        <v>112</v>
      </c>
      <c r="C12" s="13" t="s">
        <v>113</v>
      </c>
      <c r="D12" s="13" t="s">
        <v>120</v>
      </c>
      <c r="E12" s="13" t="s">
        <v>50</v>
      </c>
      <c r="F12" s="65"/>
      <c r="G12" s="62" t="s">
        <v>50</v>
      </c>
      <c r="H12" s="63">
        <v>14.065055009973371</v>
      </c>
      <c r="I12" s="53" t="s">
        <v>115</v>
      </c>
    </row>
    <row r="13" spans="1:9" ht="14.25" customHeight="1">
      <c r="A13" s="17" t="s">
        <v>111</v>
      </c>
      <c r="B13" s="14" t="s">
        <v>112</v>
      </c>
      <c r="C13" s="15" t="s">
        <v>113</v>
      </c>
      <c r="D13" s="14" t="s">
        <v>120</v>
      </c>
      <c r="E13" s="15" t="s">
        <v>51</v>
      </c>
      <c r="F13" s="65"/>
      <c r="G13" s="66" t="s">
        <v>51</v>
      </c>
      <c r="H13" s="63">
        <v>14.25266923691721</v>
      </c>
      <c r="I13" s="53" t="s">
        <v>115</v>
      </c>
    </row>
    <row r="14" spans="1:9" ht="14.25" customHeight="1">
      <c r="A14" s="21" t="s">
        <v>111</v>
      </c>
      <c r="B14" s="13" t="s">
        <v>112</v>
      </c>
      <c r="C14" s="13" t="s">
        <v>113</v>
      </c>
      <c r="D14" s="13" t="s">
        <v>120</v>
      </c>
      <c r="E14" s="13" t="s">
        <v>52</v>
      </c>
      <c r="F14" s="65"/>
      <c r="G14" s="62" t="s">
        <v>52</v>
      </c>
      <c r="H14" s="63">
        <v>14.33164555027605</v>
      </c>
      <c r="I14" s="53" t="s">
        <v>115</v>
      </c>
    </row>
    <row r="15" spans="1:9" ht="14.25" customHeight="1">
      <c r="A15" s="17" t="s">
        <v>111</v>
      </c>
      <c r="B15" s="14" t="s">
        <v>112</v>
      </c>
      <c r="C15" s="15" t="s">
        <v>113</v>
      </c>
      <c r="D15" s="14" t="s">
        <v>120</v>
      </c>
      <c r="E15" s="15" t="s">
        <v>53</v>
      </c>
      <c r="F15" s="65"/>
      <c r="G15" s="66" t="s">
        <v>53</v>
      </c>
      <c r="H15" s="63">
        <v>13.34601891323239</v>
      </c>
      <c r="I15" s="53" t="s">
        <v>115</v>
      </c>
    </row>
    <row r="16" spans="1:9" ht="14.25" customHeight="1">
      <c r="A16" s="21" t="s">
        <v>111</v>
      </c>
      <c r="B16" s="13" t="s">
        <v>112</v>
      </c>
      <c r="C16" s="13" t="s">
        <v>113</v>
      </c>
      <c r="D16" s="13" t="s">
        <v>120</v>
      </c>
      <c r="E16" s="13" t="s">
        <v>54</v>
      </c>
      <c r="F16" s="65"/>
      <c r="G16" s="62" t="s">
        <v>54</v>
      </c>
      <c r="H16" s="63">
        <v>12.251667797507089</v>
      </c>
      <c r="I16" s="53" t="s">
        <v>115</v>
      </c>
    </row>
    <row r="17" spans="1:9" ht="14.25" customHeight="1">
      <c r="A17" s="17" t="s">
        <v>111</v>
      </c>
      <c r="B17" s="14" t="s">
        <v>112</v>
      </c>
      <c r="C17" s="15" t="s">
        <v>113</v>
      </c>
      <c r="D17" s="14" t="s">
        <v>120</v>
      </c>
      <c r="E17" s="15" t="s">
        <v>55</v>
      </c>
      <c r="F17" s="65"/>
      <c r="G17" s="66" t="s">
        <v>55</v>
      </c>
      <c r="H17" s="63">
        <v>12.164342629398289</v>
      </c>
      <c r="I17" s="53" t="s">
        <v>115</v>
      </c>
    </row>
    <row r="18" spans="1:9" ht="14.25" customHeight="1">
      <c r="A18" s="21" t="s">
        <v>111</v>
      </c>
      <c r="B18" s="13" t="s">
        <v>112</v>
      </c>
      <c r="C18" s="13" t="s">
        <v>113</v>
      </c>
      <c r="D18" s="13" t="s">
        <v>120</v>
      </c>
      <c r="E18" s="13" t="s">
        <v>56</v>
      </c>
      <c r="F18" s="65"/>
      <c r="G18" s="62" t="s">
        <v>56</v>
      </c>
      <c r="H18" s="63">
        <v>11.78487608718649</v>
      </c>
      <c r="I18" s="53" t="s">
        <v>115</v>
      </c>
    </row>
    <row r="19" spans="1:9" ht="14.25" customHeight="1">
      <c r="A19" s="17" t="s">
        <v>111</v>
      </c>
      <c r="B19" s="14" t="s">
        <v>112</v>
      </c>
      <c r="C19" s="15" t="s">
        <v>113</v>
      </c>
      <c r="D19" s="14" t="s">
        <v>120</v>
      </c>
      <c r="E19" s="15" t="s">
        <v>57</v>
      </c>
      <c r="F19" s="65"/>
      <c r="G19" s="66" t="s">
        <v>57</v>
      </c>
      <c r="H19" s="63">
        <v>9.2695663853529844</v>
      </c>
      <c r="I19" s="53" t="s">
        <v>115</v>
      </c>
    </row>
    <row r="20" spans="1:9" ht="14.25" customHeight="1">
      <c r="A20" s="21" t="s">
        <v>111</v>
      </c>
      <c r="B20" s="13" t="s">
        <v>112</v>
      </c>
      <c r="C20" s="13" t="s">
        <v>113</v>
      </c>
      <c r="D20" s="13" t="s">
        <v>120</v>
      </c>
      <c r="E20" s="13" t="s">
        <v>58</v>
      </c>
      <c r="F20" s="65"/>
      <c r="G20" s="62" t="s">
        <v>58</v>
      </c>
      <c r="H20" s="63">
        <v>8.7246598523177923</v>
      </c>
      <c r="I20" s="53" t="s">
        <v>115</v>
      </c>
    </row>
    <row r="21" spans="1:9" ht="14.25" customHeight="1">
      <c r="A21" s="17" t="s">
        <v>111</v>
      </c>
      <c r="B21" s="14" t="s">
        <v>112</v>
      </c>
      <c r="C21" s="15" t="s">
        <v>113</v>
      </c>
      <c r="D21" s="14" t="s">
        <v>120</v>
      </c>
      <c r="E21" s="15" t="s">
        <v>59</v>
      </c>
      <c r="F21" s="65"/>
      <c r="G21" s="66" t="s">
        <v>59</v>
      </c>
      <c r="H21" s="63">
        <v>8.6263499721471959</v>
      </c>
      <c r="I21" s="53" t="s">
        <v>115</v>
      </c>
    </row>
    <row r="22" spans="1:9" ht="14.25" customHeight="1">
      <c r="A22" s="21" t="s">
        <v>111</v>
      </c>
      <c r="B22" s="13" t="s">
        <v>112</v>
      </c>
      <c r="C22" s="13" t="s">
        <v>113</v>
      </c>
      <c r="D22" s="13" t="s">
        <v>120</v>
      </c>
      <c r="E22" s="13" t="s">
        <v>60</v>
      </c>
      <c r="F22" s="65"/>
      <c r="G22" s="62" t="s">
        <v>60</v>
      </c>
      <c r="H22" s="63">
        <v>7.8335905919259137</v>
      </c>
      <c r="I22" s="53" t="s">
        <v>115</v>
      </c>
    </row>
    <row r="23" spans="1:9" ht="12" customHeight="1">
      <c r="A23" s="36" t="s">
        <v>111</v>
      </c>
      <c r="B23" s="15" t="s">
        <v>112</v>
      </c>
      <c r="C23" s="15" t="s">
        <v>113</v>
      </c>
      <c r="D23" s="15" t="s">
        <v>120</v>
      </c>
      <c r="E23" s="15" t="s">
        <v>61</v>
      </c>
      <c r="F23" s="65"/>
      <c r="G23" s="15" t="s">
        <v>61</v>
      </c>
      <c r="H23" s="71">
        <v>8.6450169999999993</v>
      </c>
      <c r="I23" s="3" t="s">
        <v>321</v>
      </c>
    </row>
    <row r="24" spans="1:9" ht="14.25" customHeight="1">
      <c r="A24" s="21" t="s">
        <v>111</v>
      </c>
      <c r="B24" s="13" t="s">
        <v>112</v>
      </c>
      <c r="C24" s="13" t="s">
        <v>113</v>
      </c>
      <c r="D24" s="13" t="s">
        <v>120</v>
      </c>
      <c r="E24" s="13" t="s">
        <v>62</v>
      </c>
      <c r="F24" s="65"/>
      <c r="G24" s="13" t="s">
        <v>62</v>
      </c>
      <c r="H24" s="71">
        <v>7.9388769999999997</v>
      </c>
      <c r="I24" s="3" t="s">
        <v>321</v>
      </c>
    </row>
    <row r="25" spans="1:9" ht="14.25" customHeight="1">
      <c r="A25" s="36" t="s">
        <v>111</v>
      </c>
      <c r="B25" s="15" t="s">
        <v>112</v>
      </c>
      <c r="C25" s="15" t="s">
        <v>113</v>
      </c>
      <c r="D25" s="15" t="s">
        <v>120</v>
      </c>
      <c r="E25" s="15" t="s">
        <v>63</v>
      </c>
      <c r="F25" s="65"/>
      <c r="G25" s="15" t="s">
        <v>63</v>
      </c>
      <c r="H25" s="71">
        <v>7.7153020000000003</v>
      </c>
      <c r="I25" s="3" t="s">
        <v>321</v>
      </c>
    </row>
    <row r="26" spans="1:9" ht="14.25" customHeight="1">
      <c r="A26" s="21" t="s">
        <v>111</v>
      </c>
      <c r="B26" s="13" t="s">
        <v>112</v>
      </c>
      <c r="C26" s="13" t="s">
        <v>113</v>
      </c>
      <c r="D26" s="13" t="s">
        <v>120</v>
      </c>
      <c r="E26" s="13" t="s">
        <v>64</v>
      </c>
      <c r="F26" s="65"/>
      <c r="G26" s="13" t="s">
        <v>64</v>
      </c>
      <c r="H26" s="71">
        <v>6.342333</v>
      </c>
      <c r="I26" s="3" t="s">
        <v>321</v>
      </c>
    </row>
    <row r="27" spans="1:9" ht="14.25" customHeight="1">
      <c r="A27" s="36" t="s">
        <v>111</v>
      </c>
      <c r="B27" s="15" t="s">
        <v>112</v>
      </c>
      <c r="C27" s="15" t="s">
        <v>113</v>
      </c>
      <c r="D27" s="15" t="s">
        <v>120</v>
      </c>
      <c r="E27" s="50" t="s">
        <v>65</v>
      </c>
      <c r="F27" s="65"/>
      <c r="G27" s="50" t="s">
        <v>65</v>
      </c>
      <c r="H27" s="71">
        <v>6.0741519999999998</v>
      </c>
      <c r="I27" s="3" t="s">
        <v>321</v>
      </c>
    </row>
    <row r="28" spans="1:9" ht="14.25" customHeight="1">
      <c r="A28" s="21" t="s">
        <v>111</v>
      </c>
      <c r="B28" s="13" t="s">
        <v>112</v>
      </c>
      <c r="C28" s="13" t="s">
        <v>113</v>
      </c>
      <c r="D28" s="13" t="s">
        <v>120</v>
      </c>
      <c r="E28" s="50" t="s">
        <v>66</v>
      </c>
      <c r="F28" s="65"/>
      <c r="G28" s="50" t="s">
        <v>66</v>
      </c>
      <c r="H28" s="71">
        <v>5.8155960000000002</v>
      </c>
      <c r="I28" s="3" t="s">
        <v>321</v>
      </c>
    </row>
    <row r="29" spans="1:9" ht="14.25" customHeight="1">
      <c r="A29" s="36" t="s">
        <v>111</v>
      </c>
      <c r="B29" s="15" t="s">
        <v>112</v>
      </c>
      <c r="C29" s="15" t="s">
        <v>113</v>
      </c>
      <c r="D29" s="15" t="s">
        <v>120</v>
      </c>
      <c r="E29" s="50" t="s">
        <v>67</v>
      </c>
      <c r="F29" s="65"/>
      <c r="G29" s="50" t="s">
        <v>67</v>
      </c>
      <c r="H29" s="71">
        <v>6.0384609999999999</v>
      </c>
      <c r="I29" s="3" t="s">
        <v>321</v>
      </c>
    </row>
    <row r="30" spans="1:9" ht="14.25" customHeight="1">
      <c r="A30" s="21" t="s">
        <v>111</v>
      </c>
      <c r="B30" s="13" t="s">
        <v>112</v>
      </c>
      <c r="C30" s="13" t="s">
        <v>113</v>
      </c>
      <c r="D30" s="13" t="s">
        <v>120</v>
      </c>
      <c r="E30" s="50" t="s">
        <v>68</v>
      </c>
      <c r="F30" s="65"/>
      <c r="G30" s="50" t="s">
        <v>68</v>
      </c>
      <c r="H30" s="71">
        <v>5.453106</v>
      </c>
      <c r="I30" s="3" t="s">
        <v>321</v>
      </c>
    </row>
    <row r="31" spans="1:9" ht="14.25" customHeight="1">
      <c r="A31" s="36" t="s">
        <v>111</v>
      </c>
      <c r="B31" s="15" t="s">
        <v>112</v>
      </c>
      <c r="C31" s="15" t="s">
        <v>113</v>
      </c>
      <c r="D31" s="15" t="s">
        <v>120</v>
      </c>
      <c r="E31" s="50" t="s">
        <v>69</v>
      </c>
      <c r="F31" s="65"/>
      <c r="G31" s="50" t="s">
        <v>69</v>
      </c>
      <c r="H31" s="71">
        <v>4.7894459999999999</v>
      </c>
      <c r="I31" s="3" t="s">
        <v>321</v>
      </c>
    </row>
    <row r="32" spans="1:9" ht="14.25" customHeight="1">
      <c r="A32" s="21" t="s">
        <v>111</v>
      </c>
      <c r="B32" s="13" t="s">
        <v>112</v>
      </c>
      <c r="C32" s="13" t="s">
        <v>113</v>
      </c>
      <c r="D32" s="13" t="s">
        <v>120</v>
      </c>
      <c r="E32" s="50" t="s">
        <v>319</v>
      </c>
      <c r="F32" s="65"/>
      <c r="G32" s="50" t="s">
        <v>319</v>
      </c>
      <c r="H32" s="71">
        <v>4.5648850000000003</v>
      </c>
      <c r="I32" s="3" t="s">
        <v>321</v>
      </c>
    </row>
    <row r="33" spans="1:9" ht="14.25" customHeight="1">
      <c r="A33" s="36" t="s">
        <v>111</v>
      </c>
      <c r="B33" s="15" t="s">
        <v>112</v>
      </c>
      <c r="C33" s="15" t="s">
        <v>113</v>
      </c>
      <c r="D33" s="15" t="s">
        <v>120</v>
      </c>
      <c r="E33" s="50" t="s">
        <v>70</v>
      </c>
      <c r="F33" s="65"/>
      <c r="G33" s="50" t="s">
        <v>70</v>
      </c>
      <c r="H33" s="71">
        <v>4.0777060000000001</v>
      </c>
      <c r="I33" s="3" t="s">
        <v>321</v>
      </c>
    </row>
    <row r="34" spans="1:9" ht="14.25" customHeight="1">
      <c r="A34" s="21" t="s">
        <v>111</v>
      </c>
      <c r="B34" s="13" t="s">
        <v>112</v>
      </c>
      <c r="C34" s="13" t="s">
        <v>113</v>
      </c>
      <c r="D34" s="13" t="s">
        <v>120</v>
      </c>
      <c r="E34" s="50" t="s">
        <v>71</v>
      </c>
      <c r="F34" s="65"/>
      <c r="G34" s="50" t="s">
        <v>71</v>
      </c>
      <c r="H34" s="71">
        <v>3.578586</v>
      </c>
      <c r="I34" s="3" t="s">
        <v>321</v>
      </c>
    </row>
    <row r="35" spans="1:9" ht="14.25" customHeight="1">
      <c r="A35" s="36" t="s">
        <v>111</v>
      </c>
      <c r="B35" s="15" t="s">
        <v>112</v>
      </c>
      <c r="C35" s="15" t="s">
        <v>113</v>
      </c>
      <c r="D35" s="15" t="s">
        <v>120</v>
      </c>
      <c r="E35" s="50" t="s">
        <v>72</v>
      </c>
      <c r="F35" s="65"/>
      <c r="G35" s="50" t="s">
        <v>72</v>
      </c>
      <c r="H35" s="71">
        <v>3.5751490000000001</v>
      </c>
      <c r="I35" s="3" t="s">
        <v>321</v>
      </c>
    </row>
    <row r="36" spans="1:9" ht="14.25" customHeight="1">
      <c r="A36" s="21" t="s">
        <v>111</v>
      </c>
      <c r="B36" s="13" t="s">
        <v>112</v>
      </c>
      <c r="C36" s="13" t="s">
        <v>113</v>
      </c>
      <c r="D36" s="13" t="s">
        <v>120</v>
      </c>
      <c r="E36" s="50" t="s">
        <v>73</v>
      </c>
      <c r="F36" s="65"/>
      <c r="G36" s="50" t="s">
        <v>73</v>
      </c>
      <c r="H36" s="71">
        <v>3.0775800000000002</v>
      </c>
      <c r="I36" s="3" t="s">
        <v>321</v>
      </c>
    </row>
    <row r="37" spans="1:9" ht="14.25" customHeight="1" thickBot="1">
      <c r="A37" s="68" t="s">
        <v>111</v>
      </c>
      <c r="B37" s="69" t="s">
        <v>112</v>
      </c>
      <c r="C37" s="69" t="s">
        <v>113</v>
      </c>
      <c r="D37" s="69" t="s">
        <v>120</v>
      </c>
      <c r="E37" s="56" t="s">
        <v>74</v>
      </c>
      <c r="F37" s="70"/>
      <c r="G37" s="56" t="s">
        <v>74</v>
      </c>
      <c r="H37" s="71">
        <v>3.0359259999999999</v>
      </c>
      <c r="I37" s="3" t="s">
        <v>321</v>
      </c>
    </row>
  </sheetData>
  <conditionalFormatting sqref="F2:F37">
    <cfRule type="dataBar" priority="52">
      <dataBar>
        <cfvo type="min"/>
        <cfvo type="max"/>
        <color rgb="FFFFB628"/>
      </dataBar>
    </cfRule>
  </conditionalFormatting>
  <conditionalFormatting sqref="H2:H22">
    <cfRule type="dataBar" priority="51">
      <dataBar>
        <cfvo type="min"/>
        <cfvo type="max"/>
        <color rgb="FFFFB628"/>
      </dataBar>
    </cfRule>
  </conditionalFormatting>
  <conditionalFormatting sqref="H2:H37">
    <cfRule type="dataBar" priority="1">
      <dataBar>
        <cfvo type="min"/>
        <cfvo type="max"/>
        <color rgb="FFFFB628"/>
      </dataBar>
      <extLst>
        <ext xmlns:x14="http://schemas.microsoft.com/office/spreadsheetml/2009/9/main" uri="{B025F937-C7B1-47D3-B67F-A62EFF666E3E}">
          <x14:id>{47E66866-6515-49D9-BEC0-F5939727E3F1}</x14:id>
        </ext>
      </extLst>
    </cfRule>
  </conditionalFormatting>
  <conditionalFormatting sqref="H23:H37">
    <cfRule type="dataBar" priority="2">
      <dataBar>
        <cfvo type="min"/>
        <cfvo type="max"/>
        <color rgb="FFFFB628"/>
      </dataBar>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7E66866-6515-49D9-BEC0-F5939727E3F1}">
            <x14:dataBar minLength="0" maxLength="100" border="1" negativeBarBorderColorSameAsPositive="0">
              <x14:cfvo type="autoMin"/>
              <x14:cfvo type="autoMax"/>
              <x14:borderColor rgb="FFFFB628"/>
              <x14:negativeFillColor rgb="FFFF0000"/>
              <x14:negativeBorderColor rgb="FFFF0000"/>
              <x14:axisColor rgb="FF000000"/>
            </x14:dataBar>
          </x14:cfRule>
          <xm:sqref>H2:H37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I37"/>
  <sheetViews>
    <sheetView workbookViewId="0">
      <selection activeCell="M27" sqref="M27"/>
    </sheetView>
  </sheetViews>
  <sheetFormatPr defaultRowHeight="13.5" customHeight="1"/>
  <cols>
    <col min="1" max="1" width="8.625" style="3" bestFit="1" customWidth="1"/>
    <col min="2" max="2" width="7.875" style="3" bestFit="1" customWidth="1"/>
    <col min="3" max="3" width="12.25" style="3" bestFit="1" customWidth="1"/>
    <col min="4" max="4" width="7" style="3" bestFit="1" customWidth="1"/>
    <col min="5" max="5" width="9.5" style="3" bestFit="1" customWidth="1"/>
    <col min="6" max="6" width="3.5" style="3" customWidth="1"/>
    <col min="7" max="7" width="4" style="3" customWidth="1"/>
    <col min="8" max="8" width="11.375" style="3" customWidth="1"/>
    <col min="9" max="9" width="14.5" style="3" bestFit="1" customWidth="1"/>
    <col min="10" max="13" width="9" style="3" customWidth="1"/>
    <col min="14" max="16384" width="9" style="3"/>
  </cols>
  <sheetData>
    <row r="1" spans="1:9" ht="13.5" customHeight="1">
      <c r="A1" s="1" t="s">
        <v>103</v>
      </c>
      <c r="B1" s="1" t="s">
        <v>104</v>
      </c>
      <c r="C1" s="1" t="s">
        <v>105</v>
      </c>
      <c r="D1" s="1" t="s">
        <v>106</v>
      </c>
      <c r="E1" s="1" t="s">
        <v>107</v>
      </c>
      <c r="F1" s="23"/>
      <c r="G1" s="4" t="s">
        <v>108</v>
      </c>
      <c r="H1" s="4" t="s">
        <v>109</v>
      </c>
      <c r="I1" t="s">
        <v>110</v>
      </c>
    </row>
    <row r="2" spans="1:9" ht="13.5" customHeight="1">
      <c r="A2" s="13" t="s">
        <v>111</v>
      </c>
      <c r="B2" s="13" t="s">
        <v>112</v>
      </c>
      <c r="C2" s="13" t="s">
        <v>113</v>
      </c>
      <c r="D2" s="13" t="s">
        <v>121</v>
      </c>
      <c r="E2" s="13" t="s">
        <v>40</v>
      </c>
      <c r="F2" s="79"/>
      <c r="G2" s="13" t="s">
        <v>40</v>
      </c>
      <c r="H2" s="76">
        <v>18.075050486304541</v>
      </c>
      <c r="I2" s="49" t="s">
        <v>115</v>
      </c>
    </row>
    <row r="3" spans="1:9" ht="13.5" customHeight="1">
      <c r="A3" s="14" t="s">
        <v>111</v>
      </c>
      <c r="B3" s="14" t="s">
        <v>112</v>
      </c>
      <c r="C3" s="14" t="s">
        <v>113</v>
      </c>
      <c r="D3" s="14" t="s">
        <v>121</v>
      </c>
      <c r="E3" s="15" t="s">
        <v>41</v>
      </c>
      <c r="F3" s="79"/>
      <c r="G3" s="14" t="s">
        <v>41</v>
      </c>
      <c r="H3" s="76">
        <v>18.648787733399551</v>
      </c>
      <c r="I3" s="49" t="s">
        <v>115</v>
      </c>
    </row>
    <row r="4" spans="1:9" ht="13.5" customHeight="1">
      <c r="A4" s="13" t="s">
        <v>111</v>
      </c>
      <c r="B4" s="13" t="s">
        <v>112</v>
      </c>
      <c r="C4" s="13" t="s">
        <v>113</v>
      </c>
      <c r="D4" s="13" t="s">
        <v>121</v>
      </c>
      <c r="E4" s="13" t="s">
        <v>42</v>
      </c>
      <c r="F4" s="79"/>
      <c r="G4" s="13" t="s">
        <v>42</v>
      </c>
      <c r="H4" s="76">
        <v>19.83188648745843</v>
      </c>
      <c r="I4" s="49" t="s">
        <v>115</v>
      </c>
    </row>
    <row r="5" spans="1:9" ht="13.5" customHeight="1">
      <c r="A5" s="14" t="s">
        <v>111</v>
      </c>
      <c r="B5" s="14" t="s">
        <v>112</v>
      </c>
      <c r="C5" s="15" t="s">
        <v>113</v>
      </c>
      <c r="D5" s="14" t="s">
        <v>121</v>
      </c>
      <c r="E5" s="15" t="s">
        <v>43</v>
      </c>
      <c r="F5" s="79"/>
      <c r="G5" s="15" t="s">
        <v>43</v>
      </c>
      <c r="H5" s="76">
        <v>17.457204330941298</v>
      </c>
      <c r="I5" s="49" t="s">
        <v>115</v>
      </c>
    </row>
    <row r="6" spans="1:9" ht="13.5" customHeight="1">
      <c r="A6" s="13" t="s">
        <v>111</v>
      </c>
      <c r="B6" s="13" t="s">
        <v>112</v>
      </c>
      <c r="C6" s="13" t="s">
        <v>113</v>
      </c>
      <c r="D6" s="13" t="s">
        <v>121</v>
      </c>
      <c r="E6" s="13" t="s">
        <v>44</v>
      </c>
      <c r="F6" s="79"/>
      <c r="G6" s="13" t="s">
        <v>44</v>
      </c>
      <c r="H6" s="76">
        <v>14.97764632540818</v>
      </c>
      <c r="I6" s="49" t="s">
        <v>115</v>
      </c>
    </row>
    <row r="7" spans="1:9" ht="13.5" customHeight="1">
      <c r="A7" s="14" t="s">
        <v>111</v>
      </c>
      <c r="B7" s="14" t="s">
        <v>112</v>
      </c>
      <c r="C7" s="15" t="s">
        <v>113</v>
      </c>
      <c r="D7" s="14" t="s">
        <v>121</v>
      </c>
      <c r="E7" s="15" t="s">
        <v>45</v>
      </c>
      <c r="F7" s="79"/>
      <c r="G7" s="15" t="s">
        <v>45</v>
      </c>
      <c r="H7" s="76">
        <v>16.77664123550533</v>
      </c>
      <c r="I7" s="49" t="s">
        <v>115</v>
      </c>
    </row>
    <row r="8" spans="1:9" ht="13.5" customHeight="1">
      <c r="A8" s="13" t="s">
        <v>111</v>
      </c>
      <c r="B8" s="13" t="s">
        <v>112</v>
      </c>
      <c r="C8" s="13" t="s">
        <v>113</v>
      </c>
      <c r="D8" s="13" t="s">
        <v>121</v>
      </c>
      <c r="E8" s="13" t="s">
        <v>46</v>
      </c>
      <c r="F8" s="79"/>
      <c r="G8" s="13" t="s">
        <v>46</v>
      </c>
      <c r="H8" s="76">
        <v>15.46619999264456</v>
      </c>
      <c r="I8" s="49" t="s">
        <v>115</v>
      </c>
    </row>
    <row r="9" spans="1:9" ht="13.5" customHeight="1">
      <c r="A9" s="14" t="s">
        <v>111</v>
      </c>
      <c r="B9" s="14" t="s">
        <v>112</v>
      </c>
      <c r="C9" s="15" t="s">
        <v>113</v>
      </c>
      <c r="D9" s="14" t="s">
        <v>121</v>
      </c>
      <c r="E9" s="15" t="s">
        <v>47</v>
      </c>
      <c r="F9" s="79"/>
      <c r="G9" s="15" t="s">
        <v>47</v>
      </c>
      <c r="H9" s="76">
        <v>14.477360058962001</v>
      </c>
      <c r="I9" s="49" t="s">
        <v>115</v>
      </c>
    </row>
    <row r="10" spans="1:9" ht="13.5" customHeight="1">
      <c r="A10" s="13" t="s">
        <v>111</v>
      </c>
      <c r="B10" s="13" t="s">
        <v>112</v>
      </c>
      <c r="C10" s="13" t="s">
        <v>113</v>
      </c>
      <c r="D10" s="13" t="s">
        <v>121</v>
      </c>
      <c r="E10" s="13" t="s">
        <v>48</v>
      </c>
      <c r="F10" s="79"/>
      <c r="G10" s="13" t="s">
        <v>48</v>
      </c>
      <c r="H10" s="76">
        <v>16.053308412098019</v>
      </c>
      <c r="I10" s="49" t="s">
        <v>115</v>
      </c>
    </row>
    <row r="11" spans="1:9" ht="13.5" customHeight="1">
      <c r="A11" s="14" t="s">
        <v>111</v>
      </c>
      <c r="B11" s="14" t="s">
        <v>112</v>
      </c>
      <c r="C11" s="15" t="s">
        <v>113</v>
      </c>
      <c r="D11" s="14" t="s">
        <v>121</v>
      </c>
      <c r="E11" s="15" t="s">
        <v>49</v>
      </c>
      <c r="F11" s="79"/>
      <c r="G11" s="15" t="s">
        <v>49</v>
      </c>
      <c r="H11" s="76">
        <v>13.94932375176454</v>
      </c>
      <c r="I11" s="49" t="s">
        <v>115</v>
      </c>
    </row>
    <row r="12" spans="1:9" ht="13.5" customHeight="1">
      <c r="A12" s="13" t="s">
        <v>111</v>
      </c>
      <c r="B12" s="13" t="s">
        <v>112</v>
      </c>
      <c r="C12" s="13" t="s">
        <v>113</v>
      </c>
      <c r="D12" s="13" t="s">
        <v>121</v>
      </c>
      <c r="E12" s="13" t="s">
        <v>50</v>
      </c>
      <c r="F12" s="79"/>
      <c r="G12" s="13" t="s">
        <v>50</v>
      </c>
      <c r="H12" s="76">
        <v>15.17808113277666</v>
      </c>
      <c r="I12" s="49" t="s">
        <v>115</v>
      </c>
    </row>
    <row r="13" spans="1:9" ht="13.5" customHeight="1">
      <c r="A13" s="14" t="s">
        <v>111</v>
      </c>
      <c r="B13" s="14" t="s">
        <v>112</v>
      </c>
      <c r="C13" s="15" t="s">
        <v>113</v>
      </c>
      <c r="D13" s="14" t="s">
        <v>121</v>
      </c>
      <c r="E13" s="15" t="s">
        <v>51</v>
      </c>
      <c r="F13" s="79"/>
      <c r="G13" s="15" t="s">
        <v>51</v>
      </c>
      <c r="H13" s="76">
        <v>14.130975616705371</v>
      </c>
      <c r="I13" s="49" t="s">
        <v>115</v>
      </c>
    </row>
    <row r="14" spans="1:9" ht="13.5" customHeight="1">
      <c r="A14" s="13" t="s">
        <v>111</v>
      </c>
      <c r="B14" s="13" t="s">
        <v>112</v>
      </c>
      <c r="C14" s="13" t="s">
        <v>113</v>
      </c>
      <c r="D14" s="13" t="s">
        <v>121</v>
      </c>
      <c r="E14" s="13" t="s">
        <v>52</v>
      </c>
      <c r="F14" s="79"/>
      <c r="G14" s="13" t="s">
        <v>52</v>
      </c>
      <c r="H14" s="76">
        <v>13.308912577564911</v>
      </c>
      <c r="I14" s="49" t="s">
        <v>115</v>
      </c>
    </row>
    <row r="15" spans="1:9" ht="13.5" customHeight="1">
      <c r="A15" s="14" t="s">
        <v>111</v>
      </c>
      <c r="B15" s="14" t="s">
        <v>112</v>
      </c>
      <c r="C15" s="15" t="s">
        <v>113</v>
      </c>
      <c r="D15" s="14" t="s">
        <v>121</v>
      </c>
      <c r="E15" s="15" t="s">
        <v>53</v>
      </c>
      <c r="F15" s="79"/>
      <c r="G15" s="15" t="s">
        <v>53</v>
      </c>
      <c r="H15" s="76">
        <v>11.47237342923837</v>
      </c>
      <c r="I15" s="49" t="s">
        <v>115</v>
      </c>
    </row>
    <row r="16" spans="1:9" ht="13.5" customHeight="1">
      <c r="A16" s="13" t="s">
        <v>111</v>
      </c>
      <c r="B16" s="13" t="s">
        <v>112</v>
      </c>
      <c r="C16" s="13" t="s">
        <v>113</v>
      </c>
      <c r="D16" s="13" t="s">
        <v>121</v>
      </c>
      <c r="E16" s="13" t="s">
        <v>54</v>
      </c>
      <c r="F16" s="79"/>
      <c r="G16" s="13" t="s">
        <v>54</v>
      </c>
      <c r="H16" s="76">
        <v>12.934513759726769</v>
      </c>
      <c r="I16" s="49" t="s">
        <v>115</v>
      </c>
    </row>
    <row r="17" spans="1:9" ht="13.5" customHeight="1">
      <c r="A17" s="14" t="s">
        <v>111</v>
      </c>
      <c r="B17" s="14" t="s">
        <v>112</v>
      </c>
      <c r="C17" s="15" t="s">
        <v>113</v>
      </c>
      <c r="D17" s="14" t="s">
        <v>121</v>
      </c>
      <c r="E17" s="15" t="s">
        <v>55</v>
      </c>
      <c r="F17" s="79"/>
      <c r="G17" s="15" t="s">
        <v>55</v>
      </c>
      <c r="H17" s="76">
        <v>14.36801219488558</v>
      </c>
      <c r="I17" s="49" t="s">
        <v>115</v>
      </c>
    </row>
    <row r="18" spans="1:9" ht="13.5" customHeight="1">
      <c r="A18" s="13" t="s">
        <v>111</v>
      </c>
      <c r="B18" s="13" t="s">
        <v>112</v>
      </c>
      <c r="C18" s="13" t="s">
        <v>113</v>
      </c>
      <c r="D18" s="13" t="s">
        <v>121</v>
      </c>
      <c r="E18" s="13" t="s">
        <v>56</v>
      </c>
      <c r="F18" s="79"/>
      <c r="G18" s="13" t="s">
        <v>56</v>
      </c>
      <c r="H18" s="76">
        <v>15.64765853618095</v>
      </c>
      <c r="I18" s="49" t="s">
        <v>115</v>
      </c>
    </row>
    <row r="19" spans="1:9" ht="13.5" customHeight="1">
      <c r="A19" s="14" t="s">
        <v>111</v>
      </c>
      <c r="B19" s="14" t="s">
        <v>112</v>
      </c>
      <c r="C19" s="15" t="s">
        <v>113</v>
      </c>
      <c r="D19" s="14" t="s">
        <v>121</v>
      </c>
      <c r="E19" s="15" t="s">
        <v>57</v>
      </c>
      <c r="F19" s="79"/>
      <c r="G19" s="15" t="s">
        <v>57</v>
      </c>
      <c r="H19" s="76">
        <v>10.205784921689</v>
      </c>
      <c r="I19" s="49" t="s">
        <v>115</v>
      </c>
    </row>
    <row r="20" spans="1:9" ht="13.5" customHeight="1">
      <c r="A20" s="13" t="s">
        <v>111</v>
      </c>
      <c r="B20" s="13" t="s">
        <v>112</v>
      </c>
      <c r="C20" s="13" t="s">
        <v>113</v>
      </c>
      <c r="D20" s="13" t="s">
        <v>121</v>
      </c>
      <c r="E20" s="13" t="s">
        <v>58</v>
      </c>
      <c r="F20" s="79"/>
      <c r="G20" s="13" t="s">
        <v>58</v>
      </c>
      <c r="H20" s="76">
        <v>11.19017753901146</v>
      </c>
      <c r="I20" s="49" t="s">
        <v>115</v>
      </c>
    </row>
    <row r="21" spans="1:9" ht="13.5" customHeight="1">
      <c r="A21" s="14" t="s">
        <v>111</v>
      </c>
      <c r="B21" s="14" t="s">
        <v>112</v>
      </c>
      <c r="C21" s="15" t="s">
        <v>113</v>
      </c>
      <c r="D21" s="14" t="s">
        <v>121</v>
      </c>
      <c r="E21" s="15" t="s">
        <v>59</v>
      </c>
      <c r="F21" s="79"/>
      <c r="G21" s="15" t="s">
        <v>59</v>
      </c>
      <c r="H21" s="76">
        <v>10.296213709077881</v>
      </c>
      <c r="I21" s="49" t="s">
        <v>115</v>
      </c>
    </row>
    <row r="22" spans="1:9" ht="13.5" customHeight="1">
      <c r="A22" s="13" t="s">
        <v>111</v>
      </c>
      <c r="B22" s="13" t="s">
        <v>112</v>
      </c>
      <c r="C22" s="13" t="s">
        <v>113</v>
      </c>
      <c r="D22" s="13" t="s">
        <v>121</v>
      </c>
      <c r="E22" s="13" t="s">
        <v>60</v>
      </c>
      <c r="F22" s="79"/>
      <c r="G22" s="13" t="s">
        <v>60</v>
      </c>
      <c r="H22" s="76">
        <v>10.22360048336494</v>
      </c>
      <c r="I22" s="49" t="s">
        <v>115</v>
      </c>
    </row>
    <row r="23" spans="1:9" ht="13.5" customHeight="1">
      <c r="A23" s="14" t="s">
        <v>111</v>
      </c>
      <c r="B23" s="14" t="s">
        <v>112</v>
      </c>
      <c r="C23" s="15" t="s">
        <v>113</v>
      </c>
      <c r="D23" s="14" t="s">
        <v>121</v>
      </c>
      <c r="E23" s="15" t="s">
        <v>61</v>
      </c>
      <c r="F23" s="80"/>
      <c r="G23" s="15" t="s">
        <v>61</v>
      </c>
      <c r="H23" s="76">
        <v>7.6658568243161351</v>
      </c>
      <c r="I23" s="49" t="s">
        <v>115</v>
      </c>
    </row>
    <row r="24" spans="1:9" ht="14.25" customHeight="1">
      <c r="A24" s="13" t="s">
        <v>111</v>
      </c>
      <c r="B24" s="13" t="s">
        <v>112</v>
      </c>
      <c r="C24" s="13" t="s">
        <v>113</v>
      </c>
      <c r="D24" s="13" t="s">
        <v>121</v>
      </c>
      <c r="E24" s="13" t="s">
        <v>122</v>
      </c>
      <c r="F24" s="80"/>
      <c r="G24" s="13" t="s">
        <v>122</v>
      </c>
      <c r="H24" s="76">
        <v>8.3777706529524494</v>
      </c>
      <c r="I24" s="49" t="s">
        <v>115</v>
      </c>
    </row>
    <row r="25" spans="1:9" ht="13.5" customHeight="1">
      <c r="A25" s="15" t="s">
        <v>111</v>
      </c>
      <c r="B25" s="15" t="s">
        <v>112</v>
      </c>
      <c r="C25" s="15" t="s">
        <v>113</v>
      </c>
      <c r="D25" s="13" t="s">
        <v>121</v>
      </c>
      <c r="E25" s="15" t="s">
        <v>63</v>
      </c>
      <c r="F25" s="80"/>
      <c r="G25" s="15" t="s">
        <v>63</v>
      </c>
      <c r="H25" s="77">
        <v>8.7006390000000007</v>
      </c>
      <c r="I25" s="67" t="s">
        <v>323</v>
      </c>
    </row>
    <row r="26" spans="1:9" ht="13.5" customHeight="1">
      <c r="A26" s="13" t="s">
        <v>111</v>
      </c>
      <c r="B26" s="13" t="s">
        <v>112</v>
      </c>
      <c r="C26" s="13" t="s">
        <v>113</v>
      </c>
      <c r="D26" s="13" t="s">
        <v>121</v>
      </c>
      <c r="E26" s="13" t="s">
        <v>64</v>
      </c>
      <c r="F26" s="80"/>
      <c r="G26" s="13" t="s">
        <v>64</v>
      </c>
      <c r="H26" s="77">
        <v>8.089537</v>
      </c>
      <c r="I26" s="67" t="s">
        <v>323</v>
      </c>
    </row>
    <row r="27" spans="1:9" ht="13.5" customHeight="1">
      <c r="A27" s="15" t="s">
        <v>111</v>
      </c>
      <c r="B27" s="15" t="s">
        <v>112</v>
      </c>
      <c r="C27" s="15" t="s">
        <v>113</v>
      </c>
      <c r="D27" s="15" t="s">
        <v>120</v>
      </c>
      <c r="E27" s="50" t="s">
        <v>65</v>
      </c>
      <c r="F27" s="80"/>
      <c r="G27" s="50" t="s">
        <v>65</v>
      </c>
      <c r="H27" s="78">
        <v>7.8481629999999996</v>
      </c>
      <c r="I27" s="67" t="s">
        <v>323</v>
      </c>
    </row>
    <row r="28" spans="1:9" ht="13.5" customHeight="1">
      <c r="A28" s="13" t="s">
        <v>111</v>
      </c>
      <c r="B28" s="13" t="s">
        <v>112</v>
      </c>
      <c r="C28" s="13" t="s">
        <v>113</v>
      </c>
      <c r="D28" s="13" t="s">
        <v>120</v>
      </c>
      <c r="E28" s="50" t="s">
        <v>66</v>
      </c>
      <c r="F28" s="65"/>
      <c r="G28" s="50" t="s">
        <v>66</v>
      </c>
      <c r="H28" s="78">
        <v>7.3572559999999996</v>
      </c>
      <c r="I28" s="67" t="s">
        <v>323</v>
      </c>
    </row>
    <row r="29" spans="1:9" ht="13.5" customHeight="1">
      <c r="A29" s="15" t="s">
        <v>111</v>
      </c>
      <c r="B29" s="15" t="s">
        <v>112</v>
      </c>
      <c r="C29" s="15" t="s">
        <v>113</v>
      </c>
      <c r="D29" s="15" t="s">
        <v>120</v>
      </c>
      <c r="E29" s="50" t="s">
        <v>67</v>
      </c>
      <c r="F29" s="65"/>
      <c r="G29" s="50" t="s">
        <v>67</v>
      </c>
      <c r="H29" s="78">
        <v>6.8667129999999998</v>
      </c>
      <c r="I29" s="67" t="s">
        <v>323</v>
      </c>
    </row>
    <row r="30" spans="1:9" ht="13.5" customHeight="1">
      <c r="A30" s="13" t="s">
        <v>111</v>
      </c>
      <c r="B30" s="13" t="s">
        <v>112</v>
      </c>
      <c r="C30" s="13" t="s">
        <v>113</v>
      </c>
      <c r="D30" s="13" t="s">
        <v>120</v>
      </c>
      <c r="E30" s="50" t="s">
        <v>68</v>
      </c>
      <c r="F30" s="65"/>
      <c r="G30" s="50" t="s">
        <v>68</v>
      </c>
      <c r="H30" s="78">
        <v>6.3770410000000002</v>
      </c>
      <c r="I30" s="67" t="s">
        <v>323</v>
      </c>
    </row>
    <row r="31" spans="1:9" ht="13.5" customHeight="1">
      <c r="A31" s="15" t="s">
        <v>111</v>
      </c>
      <c r="B31" s="15" t="s">
        <v>112</v>
      </c>
      <c r="C31" s="15" t="s">
        <v>113</v>
      </c>
      <c r="D31" s="15" t="s">
        <v>120</v>
      </c>
      <c r="E31" s="50" t="s">
        <v>69</v>
      </c>
      <c r="F31" s="65"/>
      <c r="G31" s="50" t="s">
        <v>69</v>
      </c>
      <c r="H31" s="78">
        <v>5.8887640000000001</v>
      </c>
      <c r="I31" s="67" t="s">
        <v>323</v>
      </c>
    </row>
    <row r="32" spans="1:9" ht="13.5" customHeight="1">
      <c r="A32" s="13" t="s">
        <v>111</v>
      </c>
      <c r="B32" s="13" t="s">
        <v>112</v>
      </c>
      <c r="C32" s="13" t="s">
        <v>113</v>
      </c>
      <c r="D32" s="13" t="s">
        <v>120</v>
      </c>
      <c r="E32" s="50" t="s">
        <v>319</v>
      </c>
      <c r="F32" s="65"/>
      <c r="G32" s="50" t="s">
        <v>319</v>
      </c>
      <c r="H32" s="78">
        <v>5.402412</v>
      </c>
      <c r="I32" s="67" t="s">
        <v>323</v>
      </c>
    </row>
    <row r="33" spans="1:9" ht="13.5" customHeight="1">
      <c r="A33" s="15" t="s">
        <v>111</v>
      </c>
      <c r="B33" s="15" t="s">
        <v>112</v>
      </c>
      <c r="C33" s="15" t="s">
        <v>113</v>
      </c>
      <c r="D33" s="15" t="s">
        <v>120</v>
      </c>
      <c r="E33" s="50" t="s">
        <v>70</v>
      </c>
      <c r="F33" s="65"/>
      <c r="G33" s="50" t="s">
        <v>70</v>
      </c>
      <c r="H33" s="78">
        <v>4.9185150000000002</v>
      </c>
      <c r="I33" s="67" t="s">
        <v>323</v>
      </c>
    </row>
    <row r="34" spans="1:9" ht="13.5" customHeight="1">
      <c r="A34" s="13" t="s">
        <v>111</v>
      </c>
      <c r="B34" s="13" t="s">
        <v>112</v>
      </c>
      <c r="C34" s="13" t="s">
        <v>113</v>
      </c>
      <c r="D34" s="13" t="s">
        <v>120</v>
      </c>
      <c r="E34" s="50" t="s">
        <v>71</v>
      </c>
      <c r="F34" s="65"/>
      <c r="G34" s="50" t="s">
        <v>71</v>
      </c>
      <c r="H34" s="78">
        <v>4.4375910000000003</v>
      </c>
      <c r="I34" s="67" t="s">
        <v>323</v>
      </c>
    </row>
    <row r="35" spans="1:9" ht="13.5" customHeight="1">
      <c r="A35" s="15" t="s">
        <v>111</v>
      </c>
      <c r="B35" s="15" t="s">
        <v>112</v>
      </c>
      <c r="C35" s="15" t="s">
        <v>113</v>
      </c>
      <c r="D35" s="15" t="s">
        <v>120</v>
      </c>
      <c r="E35" s="50" t="s">
        <v>72</v>
      </c>
      <c r="F35" s="65"/>
      <c r="G35" s="50" t="s">
        <v>72</v>
      </c>
      <c r="H35" s="78">
        <v>4.1200850000000004</v>
      </c>
      <c r="I35" s="67" t="s">
        <v>323</v>
      </c>
    </row>
    <row r="36" spans="1:9" ht="13.5" customHeight="1">
      <c r="A36" s="13" t="s">
        <v>111</v>
      </c>
      <c r="B36" s="13" t="s">
        <v>112</v>
      </c>
      <c r="C36" s="13" t="s">
        <v>113</v>
      </c>
      <c r="D36" s="13" t="s">
        <v>120</v>
      </c>
      <c r="E36" s="50" t="s">
        <v>73</v>
      </c>
      <c r="F36" s="65"/>
      <c r="G36" s="50" t="s">
        <v>73</v>
      </c>
      <c r="H36" s="78">
        <v>3.9152589999999998</v>
      </c>
      <c r="I36" s="67" t="s">
        <v>323</v>
      </c>
    </row>
    <row r="37" spans="1:9" ht="13.5" customHeight="1">
      <c r="A37" s="15" t="s">
        <v>111</v>
      </c>
      <c r="B37" s="15" t="s">
        <v>112</v>
      </c>
      <c r="C37" s="15" t="s">
        <v>113</v>
      </c>
      <c r="D37" s="15" t="s">
        <v>120</v>
      </c>
      <c r="E37" s="50" t="s">
        <v>74</v>
      </c>
      <c r="F37" s="65"/>
      <c r="G37" s="50" t="s">
        <v>74</v>
      </c>
      <c r="H37" s="78">
        <v>3.7206160000000001</v>
      </c>
      <c r="I37" s="67" t="s">
        <v>323</v>
      </c>
    </row>
  </sheetData>
  <conditionalFormatting sqref="F2:F22">
    <cfRule type="dataBar" priority="56">
      <dataBar>
        <cfvo type="min"/>
        <cfvo type="max"/>
        <color rgb="FFFFB628"/>
      </dataBar>
    </cfRule>
  </conditionalFormatting>
  <conditionalFormatting sqref="F28:F37">
    <cfRule type="dataBar" priority="2">
      <dataBar>
        <cfvo type="min"/>
        <cfvo type="max"/>
        <color rgb="FFFFB628"/>
      </dataBar>
    </cfRule>
  </conditionalFormatting>
  <conditionalFormatting sqref="H2:H24">
    <cfRule type="dataBar" priority="55">
      <dataBar>
        <cfvo type="min"/>
        <cfvo type="max"/>
        <color rgb="FFFFB628"/>
      </dataBar>
    </cfRule>
  </conditionalFormatting>
  <conditionalFormatting sqref="H3:H37">
    <cfRule type="dataBar" priority="1">
      <dataBar>
        <cfvo type="min"/>
        <cfvo type="max"/>
        <color rgb="FFFFB628"/>
      </dataBar>
      <extLst>
        <ext xmlns:x14="http://schemas.microsoft.com/office/spreadsheetml/2009/9/main" uri="{B025F937-C7B1-47D3-B67F-A62EFF666E3E}">
          <x14:id>{983231D8-B51A-4551-AEB4-24553732F3AA}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83231D8-B51A-4551-AEB4-24553732F3AA}">
            <x14:dataBar minLength="0" maxLength="100" border="1" negativeBarBorderColorSameAsPositive="0">
              <x14:cfvo type="autoMin"/>
              <x14:cfvo type="autoMax"/>
              <x14:borderColor rgb="FFFFB628"/>
              <x14:negativeFillColor rgb="FFFF0000"/>
              <x14:negativeBorderColor rgb="FFFF0000"/>
              <x14:axisColor rgb="FF000000"/>
            </x14:dataBar>
          </x14:cfRule>
          <xm:sqref>H3:H37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59999389629810485"/>
  </sheetPr>
  <dimension ref="A1:H37"/>
  <sheetViews>
    <sheetView zoomScale="115" zoomScaleNormal="115" workbookViewId="0">
      <selection activeCell="G34" sqref="G34"/>
    </sheetView>
  </sheetViews>
  <sheetFormatPr defaultRowHeight="12"/>
  <cols>
    <col min="1" max="1" width="9" style="3" bestFit="1" customWidth="1"/>
    <col min="2" max="2" width="8.5" style="3" bestFit="1" customWidth="1"/>
    <col min="3" max="3" width="13.125" style="3" bestFit="1" customWidth="1"/>
    <col min="4" max="4" width="7.125" style="3" bestFit="1" customWidth="1"/>
    <col min="5" max="5" width="10.125" style="3" bestFit="1" customWidth="1"/>
    <col min="6" max="6" width="19.875" style="3" bestFit="1" customWidth="1"/>
    <col min="7" max="11" width="9" style="3" customWidth="1"/>
    <col min="12" max="16384" width="9" style="3"/>
  </cols>
  <sheetData>
    <row r="1" spans="1:8" ht="14.25" customHeight="1" thickBot="1">
      <c r="A1" s="1" t="s">
        <v>103</v>
      </c>
      <c r="B1" s="1" t="s">
        <v>104</v>
      </c>
      <c r="C1" s="1" t="s">
        <v>105</v>
      </c>
      <c r="D1" s="1" t="s">
        <v>106</v>
      </c>
      <c r="E1" s="1" t="s">
        <v>107</v>
      </c>
      <c r="F1" s="1" t="s">
        <v>123</v>
      </c>
      <c r="G1" t="s">
        <v>110</v>
      </c>
    </row>
    <row r="2" spans="1:8" ht="14.25" customHeight="1" thickBot="1">
      <c r="A2" s="51" t="s">
        <v>111</v>
      </c>
      <c r="B2" s="51" t="s">
        <v>124</v>
      </c>
      <c r="C2" s="51" t="s">
        <v>113</v>
      </c>
      <c r="D2" s="51" t="s">
        <v>114</v>
      </c>
      <c r="E2" s="51" t="s">
        <v>40</v>
      </c>
      <c r="F2" s="24">
        <v>18.3280284214642</v>
      </c>
      <c r="G2" s="22" t="s">
        <v>125</v>
      </c>
      <c r="H2" s="72"/>
    </row>
    <row r="3" spans="1:8" ht="14.25" customHeight="1" thickBot="1">
      <c r="A3" s="51" t="s">
        <v>111</v>
      </c>
      <c r="B3" s="51" t="s">
        <v>124</v>
      </c>
      <c r="C3" s="51" t="s">
        <v>113</v>
      </c>
      <c r="D3" s="51" t="s">
        <v>114</v>
      </c>
      <c r="E3" s="51" t="s">
        <v>41</v>
      </c>
      <c r="F3" s="24">
        <v>18.44501140892368</v>
      </c>
      <c r="G3" s="22" t="s">
        <v>125</v>
      </c>
      <c r="H3" s="72"/>
    </row>
    <row r="4" spans="1:8" ht="14.25" customHeight="1" thickBot="1">
      <c r="A4" s="51" t="s">
        <v>111</v>
      </c>
      <c r="B4" s="51" t="s">
        <v>124</v>
      </c>
      <c r="C4" s="51" t="s">
        <v>113</v>
      </c>
      <c r="D4" s="51" t="s">
        <v>114</v>
      </c>
      <c r="E4" s="51" t="s">
        <v>42</v>
      </c>
      <c r="F4" s="24">
        <v>19.373795923239332</v>
      </c>
      <c r="G4" s="22" t="s">
        <v>125</v>
      </c>
      <c r="H4" s="72"/>
    </row>
    <row r="5" spans="1:8" ht="14.25" customHeight="1" thickBot="1">
      <c r="A5" s="51" t="s">
        <v>111</v>
      </c>
      <c r="B5" s="51" t="s">
        <v>124</v>
      </c>
      <c r="C5" s="51" t="s">
        <v>113</v>
      </c>
      <c r="D5" s="51" t="s">
        <v>114</v>
      </c>
      <c r="E5" s="51" t="s">
        <v>43</v>
      </c>
      <c r="F5" s="24">
        <v>20.408163720240541</v>
      </c>
      <c r="G5" s="22" t="s">
        <v>125</v>
      </c>
      <c r="H5" s="72"/>
    </row>
    <row r="6" spans="1:8" ht="14.25" customHeight="1" thickBot="1">
      <c r="A6" s="51" t="s">
        <v>111</v>
      </c>
      <c r="B6" s="51" t="s">
        <v>124</v>
      </c>
      <c r="C6" s="51" t="s">
        <v>113</v>
      </c>
      <c r="D6" s="51" t="s">
        <v>114</v>
      </c>
      <c r="E6" s="51" t="s">
        <v>44</v>
      </c>
      <c r="F6" s="24">
        <v>17.35233528639629</v>
      </c>
      <c r="G6" s="22" t="s">
        <v>125</v>
      </c>
      <c r="H6" s="72"/>
    </row>
    <row r="7" spans="1:8" ht="14.25" customHeight="1" thickBot="1">
      <c r="A7" s="51" t="s">
        <v>111</v>
      </c>
      <c r="B7" s="51" t="s">
        <v>124</v>
      </c>
      <c r="C7" s="51" t="s">
        <v>113</v>
      </c>
      <c r="D7" s="51" t="s">
        <v>114</v>
      </c>
      <c r="E7" s="51" t="s">
        <v>45</v>
      </c>
      <c r="F7" s="24">
        <v>15.034336101264991</v>
      </c>
      <c r="G7" s="22" t="s">
        <v>125</v>
      </c>
      <c r="H7" s="72"/>
    </row>
    <row r="8" spans="1:8" ht="14.25" customHeight="1" thickBot="1">
      <c r="A8" s="51" t="s">
        <v>111</v>
      </c>
      <c r="B8" s="51" t="s">
        <v>124</v>
      </c>
      <c r="C8" s="51" t="s">
        <v>113</v>
      </c>
      <c r="D8" s="51" t="s">
        <v>114</v>
      </c>
      <c r="E8" s="51" t="s">
        <v>46</v>
      </c>
      <c r="F8" s="24">
        <v>11.051761972185041</v>
      </c>
      <c r="G8" s="22" t="s">
        <v>125</v>
      </c>
      <c r="H8" s="72"/>
    </row>
    <row r="9" spans="1:8" ht="14.25" customHeight="1" thickBot="1">
      <c r="A9" s="51" t="s">
        <v>111</v>
      </c>
      <c r="B9" s="51" t="s">
        <v>124</v>
      </c>
      <c r="C9" s="51" t="s">
        <v>113</v>
      </c>
      <c r="D9" s="51" t="s">
        <v>114</v>
      </c>
      <c r="E9" s="51" t="s">
        <v>47</v>
      </c>
      <c r="F9" s="24">
        <v>14.04460460132557</v>
      </c>
      <c r="G9" s="22" t="s">
        <v>125</v>
      </c>
      <c r="H9" s="72"/>
    </row>
    <row r="10" spans="1:8" ht="14.25" customHeight="1" thickBot="1">
      <c r="A10" s="51" t="s">
        <v>111</v>
      </c>
      <c r="B10" s="51" t="s">
        <v>124</v>
      </c>
      <c r="C10" s="51" t="s">
        <v>113</v>
      </c>
      <c r="D10" s="51" t="s">
        <v>114</v>
      </c>
      <c r="E10" s="51" t="s">
        <v>48</v>
      </c>
      <c r="F10" s="24">
        <v>14.686980057010061</v>
      </c>
      <c r="G10" s="22" t="s">
        <v>125</v>
      </c>
      <c r="H10" s="72"/>
    </row>
    <row r="11" spans="1:8" ht="14.25" customHeight="1" thickBot="1">
      <c r="A11" s="51" t="s">
        <v>111</v>
      </c>
      <c r="B11" s="51" t="s">
        <v>124</v>
      </c>
      <c r="C11" s="51" t="s">
        <v>113</v>
      </c>
      <c r="D11" s="51" t="s">
        <v>114</v>
      </c>
      <c r="E11" s="51" t="s">
        <v>49</v>
      </c>
      <c r="F11" s="24">
        <v>13.120151474939989</v>
      </c>
      <c r="G11" s="22" t="s">
        <v>125</v>
      </c>
      <c r="H11" s="72"/>
    </row>
    <row r="12" spans="1:8" ht="14.25" customHeight="1" thickBot="1">
      <c r="A12" s="51" t="s">
        <v>111</v>
      </c>
      <c r="B12" s="51" t="s">
        <v>124</v>
      </c>
      <c r="C12" s="51" t="s">
        <v>113</v>
      </c>
      <c r="D12" s="51" t="s">
        <v>114</v>
      </c>
      <c r="E12" s="51" t="s">
        <v>50</v>
      </c>
      <c r="F12" s="24">
        <v>16.74102501036317</v>
      </c>
      <c r="G12" s="22" t="s">
        <v>125</v>
      </c>
      <c r="H12" s="72"/>
    </row>
    <row r="13" spans="1:8" ht="14.25" customHeight="1" thickBot="1">
      <c r="A13" s="51" t="s">
        <v>111</v>
      </c>
      <c r="B13" s="51" t="s">
        <v>124</v>
      </c>
      <c r="C13" s="51" t="s">
        <v>113</v>
      </c>
      <c r="D13" s="51" t="s">
        <v>114</v>
      </c>
      <c r="E13" s="51" t="s">
        <v>51</v>
      </c>
      <c r="F13" s="24">
        <v>16.04335425304204</v>
      </c>
      <c r="G13" s="22" t="s">
        <v>125</v>
      </c>
      <c r="H13" s="72"/>
    </row>
    <row r="14" spans="1:8" ht="14.25" customHeight="1" thickBot="1">
      <c r="A14" s="51" t="s">
        <v>111</v>
      </c>
      <c r="B14" s="51" t="s">
        <v>124</v>
      </c>
      <c r="C14" s="51" t="s">
        <v>113</v>
      </c>
      <c r="D14" s="51" t="s">
        <v>114</v>
      </c>
      <c r="E14" s="51" t="s">
        <v>52</v>
      </c>
      <c r="F14" s="24">
        <v>14.738392924937189</v>
      </c>
      <c r="G14" s="22" t="s">
        <v>125</v>
      </c>
      <c r="H14" s="72"/>
    </row>
    <row r="15" spans="1:8" ht="14.25" customHeight="1" thickBot="1">
      <c r="A15" s="51" t="s">
        <v>111</v>
      </c>
      <c r="B15" s="51" t="s">
        <v>124</v>
      </c>
      <c r="C15" s="51" t="s">
        <v>113</v>
      </c>
      <c r="D15" s="51" t="s">
        <v>114</v>
      </c>
      <c r="E15" s="51" t="s">
        <v>53</v>
      </c>
      <c r="F15" s="24">
        <v>12.71325711597574</v>
      </c>
      <c r="G15" s="22" t="s">
        <v>125</v>
      </c>
      <c r="H15" s="72"/>
    </row>
    <row r="16" spans="1:8" ht="14.25" customHeight="1" thickBot="1">
      <c r="A16" s="51" t="s">
        <v>111</v>
      </c>
      <c r="B16" s="51" t="s">
        <v>124</v>
      </c>
      <c r="C16" s="51" t="s">
        <v>113</v>
      </c>
      <c r="D16" s="51" t="s">
        <v>114</v>
      </c>
      <c r="E16" s="51" t="s">
        <v>54</v>
      </c>
      <c r="F16" s="24">
        <v>13.870168695313451</v>
      </c>
      <c r="G16" s="22" t="s">
        <v>125</v>
      </c>
      <c r="H16" s="72"/>
    </row>
    <row r="17" spans="1:8" ht="14.25" customHeight="1" thickBot="1">
      <c r="A17" s="51" t="s">
        <v>111</v>
      </c>
      <c r="B17" s="51" t="s">
        <v>124</v>
      </c>
      <c r="C17" s="51" t="s">
        <v>113</v>
      </c>
      <c r="D17" s="51" t="s">
        <v>114</v>
      </c>
      <c r="E17" s="51" t="s">
        <v>55</v>
      </c>
      <c r="F17" s="24">
        <v>15.09832195071801</v>
      </c>
      <c r="G17" s="22" t="s">
        <v>125</v>
      </c>
      <c r="H17" s="72"/>
    </row>
    <row r="18" spans="1:8" ht="14.25" customHeight="1" thickBot="1">
      <c r="A18" s="51" t="s">
        <v>111</v>
      </c>
      <c r="B18" s="51" t="s">
        <v>124</v>
      </c>
      <c r="C18" s="51" t="s">
        <v>113</v>
      </c>
      <c r="D18" s="51" t="s">
        <v>114</v>
      </c>
      <c r="E18" s="51" t="s">
        <v>56</v>
      </c>
      <c r="F18" s="24">
        <v>14.521661346279741</v>
      </c>
      <c r="G18" s="22" t="s">
        <v>125</v>
      </c>
      <c r="H18" s="72"/>
    </row>
    <row r="19" spans="1:8" ht="14.25" customHeight="1" thickBot="1">
      <c r="A19" s="51" t="s">
        <v>111</v>
      </c>
      <c r="B19" s="51" t="s">
        <v>124</v>
      </c>
      <c r="C19" s="51" t="s">
        <v>113</v>
      </c>
      <c r="D19" s="51" t="s">
        <v>114</v>
      </c>
      <c r="E19" s="51" t="s">
        <v>57</v>
      </c>
      <c r="F19" s="24">
        <v>10.59889291606893</v>
      </c>
      <c r="G19" s="22" t="s">
        <v>125</v>
      </c>
      <c r="H19" s="72"/>
    </row>
    <row r="20" spans="1:8" ht="14.25" customHeight="1" thickBot="1">
      <c r="A20" s="51" t="s">
        <v>111</v>
      </c>
      <c r="B20" s="51" t="s">
        <v>124</v>
      </c>
      <c r="C20" s="51" t="s">
        <v>113</v>
      </c>
      <c r="D20" s="51" t="s">
        <v>114</v>
      </c>
      <c r="E20" s="51" t="s">
        <v>58</v>
      </c>
      <c r="F20" s="24">
        <v>11.85248848013107</v>
      </c>
      <c r="G20" s="22" t="s">
        <v>125</v>
      </c>
      <c r="H20" s="72"/>
    </row>
    <row r="21" spans="1:8" ht="14.25" customHeight="1" thickBot="1">
      <c r="A21" s="51" t="s">
        <v>111</v>
      </c>
      <c r="B21" s="51" t="s">
        <v>124</v>
      </c>
      <c r="C21" s="51" t="s">
        <v>113</v>
      </c>
      <c r="D21" s="51" t="s">
        <v>114</v>
      </c>
      <c r="E21" s="51" t="s">
        <v>59</v>
      </c>
      <c r="F21" s="24">
        <v>10.361067381368949</v>
      </c>
      <c r="G21" s="22" t="s">
        <v>125</v>
      </c>
      <c r="H21" s="72"/>
    </row>
    <row r="22" spans="1:8" ht="14.25" customHeight="1" thickBot="1">
      <c r="A22" s="51" t="s">
        <v>111</v>
      </c>
      <c r="B22" s="51" t="s">
        <v>124</v>
      </c>
      <c r="C22" s="51" t="s">
        <v>113</v>
      </c>
      <c r="D22" s="51" t="s">
        <v>114</v>
      </c>
      <c r="E22" s="51" t="s">
        <v>60</v>
      </c>
      <c r="F22" s="24">
        <v>8.6660712983920298</v>
      </c>
      <c r="G22" s="22" t="s">
        <v>125</v>
      </c>
      <c r="H22" s="72"/>
    </row>
    <row r="23" spans="1:8" ht="14.25" customHeight="1" thickBot="1">
      <c r="A23" s="51" t="s">
        <v>111</v>
      </c>
      <c r="B23" s="51" t="s">
        <v>124</v>
      </c>
      <c r="C23" s="51" t="s">
        <v>113</v>
      </c>
      <c r="D23" s="51" t="s">
        <v>114</v>
      </c>
      <c r="E23" s="51" t="s">
        <v>61</v>
      </c>
      <c r="F23" s="24">
        <v>10.590720189592281</v>
      </c>
      <c r="G23" s="22" t="s">
        <v>125</v>
      </c>
      <c r="H23" s="72"/>
    </row>
    <row r="24" spans="1:8" ht="14.25" customHeight="1" thickBot="1">
      <c r="A24" s="51" t="s">
        <v>111</v>
      </c>
      <c r="B24" s="51" t="s">
        <v>124</v>
      </c>
      <c r="C24" s="51" t="s">
        <v>113</v>
      </c>
      <c r="D24" s="51" t="s">
        <v>114</v>
      </c>
      <c r="E24" s="51" t="s">
        <v>62</v>
      </c>
      <c r="F24" s="24">
        <v>10.239594013535109</v>
      </c>
      <c r="G24" s="22" t="s">
        <v>125</v>
      </c>
      <c r="H24" s="72"/>
    </row>
    <row r="25" spans="1:8" ht="14.25" customHeight="1" thickBot="1">
      <c r="A25" s="51" t="s">
        <v>111</v>
      </c>
      <c r="B25" s="51" t="s">
        <v>124</v>
      </c>
      <c r="C25" s="51" t="s">
        <v>113</v>
      </c>
      <c r="D25" s="51" t="s">
        <v>114</v>
      </c>
      <c r="E25" s="51" t="s">
        <v>63</v>
      </c>
      <c r="F25" s="24">
        <v>8.6545282395782852</v>
      </c>
      <c r="G25" s="22" t="s">
        <v>125</v>
      </c>
      <c r="H25" s="72"/>
    </row>
    <row r="26" spans="1:8" ht="14.25" customHeight="1" thickBot="1">
      <c r="A26" s="51" t="s">
        <v>111</v>
      </c>
      <c r="B26" s="51" t="s">
        <v>124</v>
      </c>
      <c r="C26" s="51" t="s">
        <v>113</v>
      </c>
      <c r="D26" s="51" t="s">
        <v>114</v>
      </c>
      <c r="E26" s="51" t="s">
        <v>64</v>
      </c>
      <c r="F26" s="24">
        <v>8.4291896375750976</v>
      </c>
      <c r="G26" s="22" t="s">
        <v>125</v>
      </c>
      <c r="H26" s="72"/>
    </row>
    <row r="27" spans="1:8" ht="12.75" thickBot="1">
      <c r="A27" s="51" t="s">
        <v>111</v>
      </c>
      <c r="B27" s="51" t="s">
        <v>124</v>
      </c>
      <c r="C27" s="51" t="s">
        <v>113</v>
      </c>
      <c r="D27" s="51" t="s">
        <v>120</v>
      </c>
      <c r="E27" s="51" t="s">
        <v>65</v>
      </c>
      <c r="F27" s="24">
        <v>7.0014909999999997</v>
      </c>
      <c r="G27" s="22" t="s">
        <v>322</v>
      </c>
      <c r="H27" s="72"/>
    </row>
    <row r="28" spans="1:8" ht="12.75" thickBot="1">
      <c r="A28" s="51" t="s">
        <v>111</v>
      </c>
      <c r="B28" s="51" t="s">
        <v>124</v>
      </c>
      <c r="C28" s="51" t="s">
        <v>113</v>
      </c>
      <c r="D28" s="51" t="s">
        <v>120</v>
      </c>
      <c r="E28" s="51" t="s">
        <v>66</v>
      </c>
      <c r="F28" s="24">
        <v>6.4046479999999999</v>
      </c>
      <c r="G28" s="22" t="s">
        <v>322</v>
      </c>
      <c r="H28" s="72"/>
    </row>
    <row r="29" spans="1:8" ht="12.75" thickBot="1">
      <c r="A29" s="51" t="s">
        <v>111</v>
      </c>
      <c r="B29" s="51" t="s">
        <v>124</v>
      </c>
      <c r="C29" s="51" t="s">
        <v>113</v>
      </c>
      <c r="D29" s="51" t="s">
        <v>120</v>
      </c>
      <c r="E29" s="51" t="s">
        <v>67</v>
      </c>
      <c r="F29" s="24">
        <v>5.8261289999999999</v>
      </c>
      <c r="G29" s="22" t="s">
        <v>322</v>
      </c>
      <c r="H29" s="72"/>
    </row>
    <row r="30" spans="1:8" ht="12.75" thickBot="1">
      <c r="A30" s="51" t="s">
        <v>111</v>
      </c>
      <c r="B30" s="51" t="s">
        <v>124</v>
      </c>
      <c r="C30" s="51" t="s">
        <v>113</v>
      </c>
      <c r="D30" s="51" t="s">
        <v>120</v>
      </c>
      <c r="E30" s="51" t="s">
        <v>68</v>
      </c>
      <c r="F30" s="24">
        <v>5.2694369999999999</v>
      </c>
      <c r="G30" s="22" t="s">
        <v>322</v>
      </c>
      <c r="H30" s="72"/>
    </row>
    <row r="31" spans="1:8" ht="12.75" thickBot="1">
      <c r="A31" s="51" t="s">
        <v>111</v>
      </c>
      <c r="B31" s="51" t="s">
        <v>124</v>
      </c>
      <c r="C31" s="51" t="s">
        <v>113</v>
      </c>
      <c r="D31" s="51" t="s">
        <v>120</v>
      </c>
      <c r="E31" s="51" t="s">
        <v>69</v>
      </c>
      <c r="F31" s="24">
        <v>4.7376909999999999</v>
      </c>
      <c r="G31" s="22" t="s">
        <v>322</v>
      </c>
      <c r="H31" s="72"/>
    </row>
    <row r="32" spans="1:8" ht="12.75" thickBot="1">
      <c r="A32" s="51" t="s">
        <v>111</v>
      </c>
      <c r="B32" s="51" t="s">
        <v>124</v>
      </c>
      <c r="C32" s="51" t="s">
        <v>113</v>
      </c>
      <c r="D32" s="51" t="s">
        <v>120</v>
      </c>
      <c r="E32" s="51" t="s">
        <v>319</v>
      </c>
      <c r="F32" s="24">
        <v>4.2335719999999997</v>
      </c>
      <c r="G32" s="22" t="s">
        <v>322</v>
      </c>
      <c r="H32" s="72"/>
    </row>
    <row r="33" spans="1:8" ht="12.75" thickBot="1">
      <c r="A33" s="51" t="s">
        <v>111</v>
      </c>
      <c r="B33" s="51" t="s">
        <v>124</v>
      </c>
      <c r="C33" s="51" t="s">
        <v>113</v>
      </c>
      <c r="D33" s="51" t="s">
        <v>120</v>
      </c>
      <c r="E33" s="51" t="s">
        <v>70</v>
      </c>
      <c r="F33" s="24">
        <v>3.7592729999999999</v>
      </c>
      <c r="G33" s="22" t="s">
        <v>322</v>
      </c>
      <c r="H33" s="72"/>
    </row>
    <row r="34" spans="1:8" ht="12.75" thickBot="1">
      <c r="A34" s="51" t="s">
        <v>111</v>
      </c>
      <c r="B34" s="51" t="s">
        <v>124</v>
      </c>
      <c r="C34" s="51" t="s">
        <v>113</v>
      </c>
      <c r="D34" s="51" t="s">
        <v>120</v>
      </c>
      <c r="E34" s="51" t="s">
        <v>71</v>
      </c>
      <c r="F34" s="24">
        <v>3.3164750000000001</v>
      </c>
      <c r="G34" s="22" t="s">
        <v>322</v>
      </c>
      <c r="H34" s="72"/>
    </row>
    <row r="35" spans="1:8" ht="12.75" thickBot="1">
      <c r="A35" s="51" t="s">
        <v>111</v>
      </c>
      <c r="B35" s="51" t="s">
        <v>124</v>
      </c>
      <c r="C35" s="51" t="s">
        <v>113</v>
      </c>
      <c r="D35" s="51" t="s">
        <v>120</v>
      </c>
      <c r="E35" s="51" t="s">
        <v>72</v>
      </c>
      <c r="F35" s="24">
        <v>2.9063289999999999</v>
      </c>
      <c r="G35" s="22" t="s">
        <v>322</v>
      </c>
      <c r="H35" s="72"/>
    </row>
    <row r="36" spans="1:8" ht="12.75" thickBot="1">
      <c r="A36" s="51" t="s">
        <v>111</v>
      </c>
      <c r="B36" s="51" t="s">
        <v>124</v>
      </c>
      <c r="C36" s="51" t="s">
        <v>113</v>
      </c>
      <c r="D36" s="51" t="s">
        <v>120</v>
      </c>
      <c r="E36" s="51" t="s">
        <v>73</v>
      </c>
      <c r="F36" s="24">
        <v>2.5294560000000001</v>
      </c>
      <c r="G36" s="22" t="s">
        <v>322</v>
      </c>
      <c r="H36" s="72"/>
    </row>
    <row r="37" spans="1:8" ht="12.75" thickBot="1">
      <c r="A37" s="51" t="s">
        <v>111</v>
      </c>
      <c r="B37" s="51" t="s">
        <v>124</v>
      </c>
      <c r="C37" s="51" t="s">
        <v>113</v>
      </c>
      <c r="D37" s="51" t="s">
        <v>120</v>
      </c>
      <c r="E37" s="51" t="s">
        <v>74</v>
      </c>
      <c r="F37" s="57">
        <v>2.2617090000000002</v>
      </c>
      <c r="G37" s="22" t="s">
        <v>322</v>
      </c>
      <c r="H37" s="72"/>
    </row>
  </sheetData>
  <conditionalFormatting sqref="F2:F37">
    <cfRule type="dataBar" priority="74">
      <dataBar>
        <cfvo type="min"/>
        <cfvo type="max"/>
        <color rgb="FF63C384"/>
      </dataBar>
    </cfRule>
  </conditionalFormatting>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59999389629810485"/>
  </sheetPr>
  <dimension ref="A1:I37"/>
  <sheetViews>
    <sheetView workbookViewId="0">
      <selection activeCell="A2" sqref="A2:XFD25"/>
    </sheetView>
  </sheetViews>
  <sheetFormatPr defaultRowHeight="12"/>
  <cols>
    <col min="1" max="1" width="8.625" style="3" bestFit="1" customWidth="1"/>
    <col min="2" max="2" width="7.875" style="3" bestFit="1" customWidth="1"/>
    <col min="3" max="3" width="12.25" style="3" bestFit="1" customWidth="1"/>
    <col min="4" max="4" width="7" style="3" bestFit="1" customWidth="1"/>
    <col min="5" max="5" width="9.5" style="3" bestFit="1" customWidth="1"/>
    <col min="6" max="6" width="18.75" style="3" bestFit="1" customWidth="1"/>
    <col min="7" max="7" width="19.375" style="3" bestFit="1" customWidth="1"/>
    <col min="8" max="11" width="9" style="3" customWidth="1"/>
    <col min="12" max="16384" width="9" style="3"/>
  </cols>
  <sheetData>
    <row r="1" spans="1:7" ht="14.25" customHeight="1">
      <c r="A1" s="1" t="s">
        <v>103</v>
      </c>
      <c r="B1" s="1" t="s">
        <v>104</v>
      </c>
      <c r="C1" s="1" t="s">
        <v>105</v>
      </c>
      <c r="D1" s="1" t="s">
        <v>106</v>
      </c>
      <c r="E1" s="1" t="s">
        <v>107</v>
      </c>
      <c r="F1" s="1" t="s">
        <v>123</v>
      </c>
      <c r="G1" t="s">
        <v>110</v>
      </c>
    </row>
    <row r="2" spans="1:7" ht="14.25" customHeight="1">
      <c r="A2" s="52" t="s">
        <v>111</v>
      </c>
      <c r="B2" s="48" t="s">
        <v>124</v>
      </c>
      <c r="C2" s="48" t="s">
        <v>113</v>
      </c>
      <c r="D2" s="48" t="s">
        <v>120</v>
      </c>
      <c r="E2" s="48" t="s">
        <v>40</v>
      </c>
      <c r="F2" s="24">
        <v>21.461219417225479</v>
      </c>
      <c r="G2" s="53" t="s">
        <v>126</v>
      </c>
    </row>
    <row r="3" spans="1:7" ht="14.25" customHeight="1">
      <c r="A3" s="52" t="s">
        <v>111</v>
      </c>
      <c r="B3" s="48" t="s">
        <v>124</v>
      </c>
      <c r="C3" s="48" t="s">
        <v>113</v>
      </c>
      <c r="D3" s="48" t="s">
        <v>120</v>
      </c>
      <c r="E3" s="48" t="s">
        <v>41</v>
      </c>
      <c r="F3" s="24">
        <v>18.358405570183791</v>
      </c>
      <c r="G3" s="53" t="s">
        <v>126</v>
      </c>
    </row>
    <row r="4" spans="1:7" ht="14.25" customHeight="1">
      <c r="A4" s="52" t="s">
        <v>111</v>
      </c>
      <c r="B4" s="48" t="s">
        <v>124</v>
      </c>
      <c r="C4" s="48" t="s">
        <v>113</v>
      </c>
      <c r="D4" s="48" t="s">
        <v>120</v>
      </c>
      <c r="E4" s="48" t="s">
        <v>42</v>
      </c>
      <c r="F4" s="24">
        <v>17.50889292053715</v>
      </c>
      <c r="G4" s="53" t="s">
        <v>126</v>
      </c>
    </row>
    <row r="5" spans="1:7" ht="14.25" customHeight="1">
      <c r="A5" s="52" t="s">
        <v>111</v>
      </c>
      <c r="B5" s="48" t="s">
        <v>124</v>
      </c>
      <c r="C5" s="48" t="s">
        <v>113</v>
      </c>
      <c r="D5" s="48" t="s">
        <v>120</v>
      </c>
      <c r="E5" s="48" t="s">
        <v>43</v>
      </c>
      <c r="F5" s="24">
        <v>15.14620468816722</v>
      </c>
      <c r="G5" s="53" t="s">
        <v>126</v>
      </c>
    </row>
    <row r="6" spans="1:7" ht="14.25" customHeight="1">
      <c r="A6" s="52" t="s">
        <v>111</v>
      </c>
      <c r="B6" s="48" t="s">
        <v>124</v>
      </c>
      <c r="C6" s="48" t="s">
        <v>113</v>
      </c>
      <c r="D6" s="48" t="s">
        <v>120</v>
      </c>
      <c r="E6" s="48" t="s">
        <v>44</v>
      </c>
      <c r="F6" s="24">
        <v>12.869643199502431</v>
      </c>
      <c r="G6" s="53" t="s">
        <v>126</v>
      </c>
    </row>
    <row r="7" spans="1:7" ht="14.25" customHeight="1">
      <c r="A7" s="52" t="s">
        <v>111</v>
      </c>
      <c r="B7" s="48" t="s">
        <v>124</v>
      </c>
      <c r="C7" s="48" t="s">
        <v>113</v>
      </c>
      <c r="D7" s="48" t="s">
        <v>120</v>
      </c>
      <c r="E7" s="48" t="s">
        <v>45</v>
      </c>
      <c r="F7" s="24">
        <v>13.46408161052484</v>
      </c>
      <c r="G7" s="53" t="s">
        <v>126</v>
      </c>
    </row>
    <row r="8" spans="1:7" ht="14.25" customHeight="1">
      <c r="A8" s="52" t="s">
        <v>111</v>
      </c>
      <c r="B8" s="48" t="s">
        <v>124</v>
      </c>
      <c r="C8" s="48" t="s">
        <v>113</v>
      </c>
      <c r="D8" s="48" t="s">
        <v>120</v>
      </c>
      <c r="E8" s="48" t="s">
        <v>46</v>
      </c>
      <c r="F8" s="24">
        <v>13.978764685671059</v>
      </c>
      <c r="G8" s="53" t="s">
        <v>126</v>
      </c>
    </row>
    <row r="9" spans="1:7" ht="14.25" customHeight="1">
      <c r="A9" s="52" t="s">
        <v>111</v>
      </c>
      <c r="B9" s="48" t="s">
        <v>124</v>
      </c>
      <c r="C9" s="48" t="s">
        <v>113</v>
      </c>
      <c r="D9" s="48" t="s">
        <v>120</v>
      </c>
      <c r="E9" s="48" t="s">
        <v>47</v>
      </c>
      <c r="F9" s="24">
        <v>17.92292149444237</v>
      </c>
      <c r="G9" s="53" t="s">
        <v>126</v>
      </c>
    </row>
    <row r="10" spans="1:7" ht="14.25" customHeight="1">
      <c r="A10" s="52" t="s">
        <v>111</v>
      </c>
      <c r="B10" s="48" t="s">
        <v>124</v>
      </c>
      <c r="C10" s="48" t="s">
        <v>113</v>
      </c>
      <c r="D10" s="48" t="s">
        <v>120</v>
      </c>
      <c r="E10" s="48" t="s">
        <v>48</v>
      </c>
      <c r="F10" s="24">
        <v>17.8092353960418</v>
      </c>
      <c r="G10" s="53" t="s">
        <v>126</v>
      </c>
    </row>
    <row r="11" spans="1:7" ht="14.25" customHeight="1">
      <c r="A11" s="52" t="s">
        <v>111</v>
      </c>
      <c r="B11" s="48" t="s">
        <v>124</v>
      </c>
      <c r="C11" s="48" t="s">
        <v>113</v>
      </c>
      <c r="D11" s="48" t="s">
        <v>120</v>
      </c>
      <c r="E11" s="48" t="s">
        <v>49</v>
      </c>
      <c r="F11" s="24">
        <v>16.5818952916566</v>
      </c>
      <c r="G11" s="53" t="s">
        <v>126</v>
      </c>
    </row>
    <row r="12" spans="1:7" ht="14.25" customHeight="1">
      <c r="A12" s="52" t="s">
        <v>111</v>
      </c>
      <c r="B12" s="48" t="s">
        <v>124</v>
      </c>
      <c r="C12" s="48" t="s">
        <v>113</v>
      </c>
      <c r="D12" s="48" t="s">
        <v>120</v>
      </c>
      <c r="E12" s="48" t="s">
        <v>50</v>
      </c>
      <c r="F12" s="24">
        <v>16.75665035379814</v>
      </c>
      <c r="G12" s="53" t="s">
        <v>126</v>
      </c>
    </row>
    <row r="13" spans="1:7" ht="14.25" customHeight="1">
      <c r="A13" s="52" t="s">
        <v>111</v>
      </c>
      <c r="B13" s="48" t="s">
        <v>124</v>
      </c>
      <c r="C13" s="48" t="s">
        <v>113</v>
      </c>
      <c r="D13" s="48" t="s">
        <v>120</v>
      </c>
      <c r="E13" s="48" t="s">
        <v>51</v>
      </c>
      <c r="F13" s="24">
        <v>14.61513341495508</v>
      </c>
      <c r="G13" s="53" t="s">
        <v>126</v>
      </c>
    </row>
    <row r="14" spans="1:7" ht="14.25" customHeight="1">
      <c r="A14" s="52" t="s">
        <v>111</v>
      </c>
      <c r="B14" s="48" t="s">
        <v>124</v>
      </c>
      <c r="C14" s="48" t="s">
        <v>113</v>
      </c>
      <c r="D14" s="48" t="s">
        <v>120</v>
      </c>
      <c r="E14" s="48" t="s">
        <v>52</v>
      </c>
      <c r="F14" s="24">
        <v>15.943362469188569</v>
      </c>
      <c r="G14" s="53" t="s">
        <v>126</v>
      </c>
    </row>
    <row r="15" spans="1:7" ht="14.25" customHeight="1">
      <c r="A15" s="52" t="s">
        <v>111</v>
      </c>
      <c r="B15" s="48" t="s">
        <v>124</v>
      </c>
      <c r="C15" s="48" t="s">
        <v>113</v>
      </c>
      <c r="D15" s="48" t="s">
        <v>120</v>
      </c>
      <c r="E15" s="48" t="s">
        <v>53</v>
      </c>
      <c r="F15" s="24">
        <v>15.06528698665246</v>
      </c>
      <c r="G15" s="53" t="s">
        <v>126</v>
      </c>
    </row>
    <row r="16" spans="1:7" ht="14.25" customHeight="1">
      <c r="A16" s="52" t="s">
        <v>111</v>
      </c>
      <c r="B16" s="48" t="s">
        <v>124</v>
      </c>
      <c r="C16" s="48" t="s">
        <v>113</v>
      </c>
      <c r="D16" s="48" t="s">
        <v>120</v>
      </c>
      <c r="E16" s="48" t="s">
        <v>54</v>
      </c>
      <c r="F16" s="24">
        <v>13.707501137130031</v>
      </c>
      <c r="G16" s="53" t="s">
        <v>126</v>
      </c>
    </row>
    <row r="17" spans="1:9" ht="14.25" customHeight="1">
      <c r="A17" s="52" t="s">
        <v>111</v>
      </c>
      <c r="B17" s="48" t="s">
        <v>124</v>
      </c>
      <c r="C17" s="48" t="s">
        <v>113</v>
      </c>
      <c r="D17" s="48" t="s">
        <v>120</v>
      </c>
      <c r="E17" s="48" t="s">
        <v>55</v>
      </c>
      <c r="F17" s="24">
        <v>15.06900974317559</v>
      </c>
      <c r="G17" s="53" t="s">
        <v>126</v>
      </c>
    </row>
    <row r="18" spans="1:9" ht="14.25" customHeight="1">
      <c r="A18" s="52" t="s">
        <v>111</v>
      </c>
      <c r="B18" s="48" t="s">
        <v>124</v>
      </c>
      <c r="C18" s="48" t="s">
        <v>113</v>
      </c>
      <c r="D18" s="48" t="s">
        <v>120</v>
      </c>
      <c r="E18" s="48" t="s">
        <v>56</v>
      </c>
      <c r="F18" s="24">
        <v>15.410340167082859</v>
      </c>
      <c r="G18" s="53" t="s">
        <v>126</v>
      </c>
    </row>
    <row r="19" spans="1:9" ht="14.25" customHeight="1">
      <c r="A19" s="52" t="s">
        <v>111</v>
      </c>
      <c r="B19" s="48" t="s">
        <v>124</v>
      </c>
      <c r="C19" s="48" t="s">
        <v>113</v>
      </c>
      <c r="D19" s="48" t="s">
        <v>120</v>
      </c>
      <c r="E19" s="48" t="s">
        <v>57</v>
      </c>
      <c r="F19" s="24">
        <v>9.375348948351089</v>
      </c>
      <c r="G19" s="53" t="s">
        <v>126</v>
      </c>
    </row>
    <row r="20" spans="1:9" ht="14.25" customHeight="1">
      <c r="A20" s="52" t="s">
        <v>111</v>
      </c>
      <c r="B20" s="48" t="s">
        <v>124</v>
      </c>
      <c r="C20" s="48" t="s">
        <v>113</v>
      </c>
      <c r="D20" s="48" t="s">
        <v>120</v>
      </c>
      <c r="E20" s="48" t="s">
        <v>58</v>
      </c>
      <c r="F20" s="24">
        <v>10.246673249634441</v>
      </c>
      <c r="G20" s="53" t="s">
        <v>126</v>
      </c>
    </row>
    <row r="21" spans="1:9" ht="14.25" customHeight="1">
      <c r="A21" s="52" t="s">
        <v>111</v>
      </c>
      <c r="B21" s="48" t="s">
        <v>124</v>
      </c>
      <c r="C21" s="48" t="s">
        <v>113</v>
      </c>
      <c r="D21" s="48" t="s">
        <v>120</v>
      </c>
      <c r="E21" s="48" t="s">
        <v>59</v>
      </c>
      <c r="F21" s="24">
        <v>9.4618715977962875</v>
      </c>
      <c r="G21" s="53" t="s">
        <v>126</v>
      </c>
    </row>
    <row r="22" spans="1:9" ht="14.25" customHeight="1">
      <c r="A22" s="52" t="s">
        <v>111</v>
      </c>
      <c r="B22" s="48" t="s">
        <v>124</v>
      </c>
      <c r="C22" s="48" t="s">
        <v>113</v>
      </c>
      <c r="D22" s="48" t="s">
        <v>120</v>
      </c>
      <c r="E22" s="48" t="s">
        <v>60</v>
      </c>
      <c r="F22" s="24">
        <v>9.7011942033356373</v>
      </c>
      <c r="G22" s="53" t="s">
        <v>126</v>
      </c>
    </row>
    <row r="23" spans="1:9" ht="14.25" customHeight="1">
      <c r="A23" s="52" t="s">
        <v>111</v>
      </c>
      <c r="B23" s="48" t="s">
        <v>124</v>
      </c>
      <c r="C23" s="48" t="s">
        <v>113</v>
      </c>
      <c r="D23" s="48" t="s">
        <v>120</v>
      </c>
      <c r="E23" s="48" t="s">
        <v>61</v>
      </c>
      <c r="F23" s="24">
        <v>10.292742303539031</v>
      </c>
      <c r="G23" s="53" t="s">
        <v>126</v>
      </c>
    </row>
    <row r="24" spans="1:9" ht="14.25" customHeight="1">
      <c r="A24" s="52" t="s">
        <v>111</v>
      </c>
      <c r="B24" s="48" t="s">
        <v>124</v>
      </c>
      <c r="C24" s="48" t="s">
        <v>113</v>
      </c>
      <c r="D24" s="48" t="s">
        <v>120</v>
      </c>
      <c r="E24" s="48" t="s">
        <v>62</v>
      </c>
      <c r="F24" s="24">
        <v>9.2955515743226176</v>
      </c>
      <c r="G24" s="53" t="s">
        <v>126</v>
      </c>
    </row>
    <row r="25" spans="1:9" ht="14.25" customHeight="1">
      <c r="A25" s="52" t="s">
        <v>111</v>
      </c>
      <c r="B25" s="48" t="s">
        <v>124</v>
      </c>
      <c r="C25" s="48" t="s">
        <v>113</v>
      </c>
      <c r="D25" s="48" t="s">
        <v>120</v>
      </c>
      <c r="E25" s="48" t="s">
        <v>63</v>
      </c>
      <c r="F25" s="24">
        <v>9.3269027051557156</v>
      </c>
      <c r="G25" s="53" t="s">
        <v>126</v>
      </c>
    </row>
    <row r="26" spans="1:9" ht="14.25" customHeight="1">
      <c r="A26" s="52" t="s">
        <v>111</v>
      </c>
      <c r="B26" s="48" t="s">
        <v>124</v>
      </c>
      <c r="C26" s="48" t="s">
        <v>113</v>
      </c>
      <c r="D26" s="48" t="s">
        <v>120</v>
      </c>
      <c r="E26" s="48" t="s">
        <v>64</v>
      </c>
      <c r="F26" s="24">
        <v>6.9084342905250322</v>
      </c>
      <c r="G26" s="53" t="s">
        <v>126</v>
      </c>
    </row>
    <row r="27" spans="1:9" ht="14.25">
      <c r="A27" s="52" t="s">
        <v>111</v>
      </c>
      <c r="B27" s="48" t="s">
        <v>124</v>
      </c>
      <c r="C27" s="48" t="s">
        <v>113</v>
      </c>
      <c r="D27" s="48" t="s">
        <v>120</v>
      </c>
      <c r="E27" s="59" t="s">
        <v>65</v>
      </c>
      <c r="F27" s="24">
        <v>6.8447114138076079</v>
      </c>
      <c r="G27" s="53" t="s">
        <v>126</v>
      </c>
    </row>
    <row r="28" spans="1:9" ht="14.25">
      <c r="A28" s="52" t="s">
        <v>111</v>
      </c>
      <c r="B28" s="48" t="s">
        <v>124</v>
      </c>
      <c r="C28" s="48" t="s">
        <v>113</v>
      </c>
      <c r="D28" s="48" t="s">
        <v>120</v>
      </c>
      <c r="E28" s="59" t="s">
        <v>66</v>
      </c>
      <c r="F28" s="24">
        <v>6.8015035368310741</v>
      </c>
      <c r="G28" s="53" t="s">
        <v>126</v>
      </c>
    </row>
    <row r="29" spans="1:9" ht="14.25">
      <c r="A29" s="52" t="s">
        <v>111</v>
      </c>
      <c r="B29" s="48" t="s">
        <v>124</v>
      </c>
      <c r="C29" s="48" t="s">
        <v>113</v>
      </c>
      <c r="D29" s="48" t="s">
        <v>120</v>
      </c>
      <c r="E29" s="59" t="s">
        <v>67</v>
      </c>
      <c r="F29" s="24">
        <v>7.7843937393149512</v>
      </c>
      <c r="G29" s="53" t="s">
        <v>126</v>
      </c>
    </row>
    <row r="30" spans="1:9" ht="14.25">
      <c r="A30" s="52" t="s">
        <v>111</v>
      </c>
      <c r="B30" s="48" t="s">
        <v>124</v>
      </c>
      <c r="C30" s="48" t="s">
        <v>113</v>
      </c>
      <c r="D30" s="48" t="s">
        <v>120</v>
      </c>
      <c r="E30" s="59" t="s">
        <v>68</v>
      </c>
      <c r="F30" s="24">
        <v>7.0446472303992271</v>
      </c>
      <c r="G30" s="53" t="s">
        <v>126</v>
      </c>
    </row>
    <row r="31" spans="1:9" ht="14.25">
      <c r="A31" s="52" t="s">
        <v>111</v>
      </c>
      <c r="B31" s="48" t="s">
        <v>124</v>
      </c>
      <c r="C31" s="48" t="s">
        <v>113</v>
      </c>
      <c r="D31" s="48" t="s">
        <v>120</v>
      </c>
      <c r="E31" s="59" t="s">
        <v>69</v>
      </c>
      <c r="F31" s="24">
        <v>6.1379999247093364</v>
      </c>
      <c r="G31" s="53" t="s">
        <v>126</v>
      </c>
    </row>
    <row r="32" spans="1:9" ht="14.25">
      <c r="A32" s="52" t="s">
        <v>111</v>
      </c>
      <c r="B32" s="48" t="s">
        <v>124</v>
      </c>
      <c r="C32" s="48" t="s">
        <v>113</v>
      </c>
      <c r="D32" s="48" t="s">
        <v>120</v>
      </c>
      <c r="E32" s="59" t="s">
        <v>319</v>
      </c>
      <c r="F32" s="61">
        <v>5.7991140000000003</v>
      </c>
      <c r="G32" s="81" t="s">
        <v>320</v>
      </c>
      <c r="H32" s="82"/>
      <c r="I32" s="82"/>
    </row>
    <row r="33" spans="1:7" ht="14.25">
      <c r="A33" s="52" t="s">
        <v>111</v>
      </c>
      <c r="B33" s="48" t="s">
        <v>124</v>
      </c>
      <c r="C33" s="48" t="s">
        <v>113</v>
      </c>
      <c r="D33" s="48" t="s">
        <v>120</v>
      </c>
      <c r="E33" s="59" t="s">
        <v>70</v>
      </c>
      <c r="F33" s="24">
        <v>5.6367526472001437</v>
      </c>
      <c r="G33" s="53" t="s">
        <v>126</v>
      </c>
    </row>
    <row r="34" spans="1:7" ht="14.25">
      <c r="A34" s="52" t="s">
        <v>111</v>
      </c>
      <c r="B34" s="48" t="s">
        <v>124</v>
      </c>
      <c r="C34" s="48" t="s">
        <v>113</v>
      </c>
      <c r="D34" s="48" t="s">
        <v>120</v>
      </c>
      <c r="E34" s="59" t="s">
        <v>71</v>
      </c>
      <c r="F34" s="24">
        <v>5.5310395525017588</v>
      </c>
      <c r="G34" s="53" t="s">
        <v>126</v>
      </c>
    </row>
    <row r="35" spans="1:7" ht="14.25">
      <c r="A35" s="52" t="s">
        <v>111</v>
      </c>
      <c r="B35" s="48" t="s">
        <v>124</v>
      </c>
      <c r="C35" s="48" t="s">
        <v>113</v>
      </c>
      <c r="D35" s="48" t="s">
        <v>120</v>
      </c>
      <c r="E35" s="59" t="s">
        <v>72</v>
      </c>
      <c r="F35" s="24">
        <v>4.2554099418289528</v>
      </c>
      <c r="G35" s="53" t="s">
        <v>126</v>
      </c>
    </row>
    <row r="36" spans="1:7" ht="14.25">
      <c r="A36" s="52" t="s">
        <v>111</v>
      </c>
      <c r="B36" s="48" t="s">
        <v>124</v>
      </c>
      <c r="C36" s="48" t="s">
        <v>113</v>
      </c>
      <c r="D36" s="48" t="s">
        <v>120</v>
      </c>
      <c r="E36" s="59" t="s">
        <v>73</v>
      </c>
      <c r="F36" s="24">
        <v>4.282131342642522</v>
      </c>
      <c r="G36" s="53" t="s">
        <v>126</v>
      </c>
    </row>
    <row r="37" spans="1:7" ht="15" thickBot="1">
      <c r="A37" s="54" t="s">
        <v>111</v>
      </c>
      <c r="B37" s="55" t="s">
        <v>124</v>
      </c>
      <c r="C37" s="55" t="s">
        <v>113</v>
      </c>
      <c r="D37" s="55" t="s">
        <v>120</v>
      </c>
      <c r="E37" s="60" t="s">
        <v>74</v>
      </c>
      <c r="F37" s="57">
        <v>4.249494394106998</v>
      </c>
      <c r="G37" s="58" t="s">
        <v>126</v>
      </c>
    </row>
  </sheetData>
  <mergeCells count="1">
    <mergeCell ref="G32:I32"/>
  </mergeCells>
  <conditionalFormatting sqref="F2:F37">
    <cfRule type="dataBar" priority="76">
      <dataBar>
        <cfvo type="min"/>
        <cfvo type="max"/>
        <color rgb="FF63C384"/>
      </dataBar>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59999389629810485"/>
  </sheetPr>
  <dimension ref="A1:G37"/>
  <sheetViews>
    <sheetView workbookViewId="0">
      <selection activeCell="I17" sqref="I17"/>
    </sheetView>
  </sheetViews>
  <sheetFormatPr defaultRowHeight="12"/>
  <cols>
    <col min="1" max="1" width="8.625" style="3" bestFit="1" customWidth="1"/>
    <col min="2" max="2" width="7.875" style="3" bestFit="1" customWidth="1"/>
    <col min="3" max="3" width="12.25" style="3" bestFit="1" customWidth="1"/>
    <col min="4" max="4" width="7" style="3" bestFit="1" customWidth="1"/>
    <col min="5" max="5" width="9.5" style="3" bestFit="1" customWidth="1"/>
    <col min="6" max="6" width="18.75" style="3" bestFit="1" customWidth="1"/>
    <col min="7" max="7" width="19.375" style="3" bestFit="1" customWidth="1"/>
    <col min="8" max="11" width="9" style="3" customWidth="1"/>
    <col min="12" max="16384" width="9" style="3"/>
  </cols>
  <sheetData>
    <row r="1" spans="1:7" ht="14.25" customHeight="1">
      <c r="A1" s="1" t="s">
        <v>103</v>
      </c>
      <c r="B1" s="1" t="s">
        <v>104</v>
      </c>
      <c r="C1" s="1" t="s">
        <v>105</v>
      </c>
      <c r="D1" s="1" t="s">
        <v>106</v>
      </c>
      <c r="E1" s="1" t="s">
        <v>107</v>
      </c>
      <c r="F1" s="1" t="s">
        <v>123</v>
      </c>
      <c r="G1" t="s">
        <v>110</v>
      </c>
    </row>
    <row r="2" spans="1:7" ht="14.25" customHeight="1">
      <c r="A2" s="48" t="s">
        <v>111</v>
      </c>
      <c r="B2" s="48" t="s">
        <v>124</v>
      </c>
      <c r="C2" s="48" t="s">
        <v>113</v>
      </c>
      <c r="D2" s="48" t="s">
        <v>121</v>
      </c>
      <c r="E2" s="48" t="s">
        <v>40</v>
      </c>
      <c r="F2" s="24">
        <v>18.948740849245429</v>
      </c>
      <c r="G2" s="67" t="s">
        <v>125</v>
      </c>
    </row>
    <row r="3" spans="1:7" ht="14.25" customHeight="1">
      <c r="A3" s="48" t="s">
        <v>111</v>
      </c>
      <c r="B3" s="48" t="s">
        <v>124</v>
      </c>
      <c r="C3" s="48" t="s">
        <v>113</v>
      </c>
      <c r="D3" s="48" t="s">
        <v>121</v>
      </c>
      <c r="E3" s="48" t="s">
        <v>41</v>
      </c>
      <c r="F3" s="24">
        <v>17.368003919209539</v>
      </c>
      <c r="G3" s="67" t="s">
        <v>125</v>
      </c>
    </row>
    <row r="4" spans="1:7" ht="14.25" customHeight="1">
      <c r="A4" s="48" t="s">
        <v>111</v>
      </c>
      <c r="B4" s="48" t="s">
        <v>124</v>
      </c>
      <c r="C4" s="48" t="s">
        <v>113</v>
      </c>
      <c r="D4" s="48" t="s">
        <v>121</v>
      </c>
      <c r="E4" s="48" t="s">
        <v>42</v>
      </c>
      <c r="F4" s="24">
        <v>19.74139435343184</v>
      </c>
      <c r="G4" s="67" t="s">
        <v>125</v>
      </c>
    </row>
    <row r="5" spans="1:7" ht="14.25" customHeight="1">
      <c r="A5" s="48" t="s">
        <v>111</v>
      </c>
      <c r="B5" s="48" t="s">
        <v>124</v>
      </c>
      <c r="C5" s="48" t="s">
        <v>113</v>
      </c>
      <c r="D5" s="48" t="s">
        <v>121</v>
      </c>
      <c r="E5" s="48" t="s">
        <v>43</v>
      </c>
      <c r="F5" s="24">
        <v>18.997535747776851</v>
      </c>
      <c r="G5" s="67" t="s">
        <v>125</v>
      </c>
    </row>
    <row r="6" spans="1:7" ht="14.25" customHeight="1">
      <c r="A6" s="48" t="s">
        <v>111</v>
      </c>
      <c r="B6" s="48" t="s">
        <v>124</v>
      </c>
      <c r="C6" s="48" t="s">
        <v>113</v>
      </c>
      <c r="D6" s="48" t="s">
        <v>121</v>
      </c>
      <c r="E6" s="48" t="s">
        <v>44</v>
      </c>
      <c r="F6" s="24">
        <v>17.146357297649001</v>
      </c>
      <c r="G6" s="67" t="s">
        <v>125</v>
      </c>
    </row>
    <row r="7" spans="1:7" ht="14.25" customHeight="1">
      <c r="A7" s="48" t="s">
        <v>111</v>
      </c>
      <c r="B7" s="48" t="s">
        <v>124</v>
      </c>
      <c r="C7" s="48" t="s">
        <v>113</v>
      </c>
      <c r="D7" s="48" t="s">
        <v>121</v>
      </c>
      <c r="E7" s="48" t="s">
        <v>45</v>
      </c>
      <c r="F7" s="24">
        <v>14.249828417928461</v>
      </c>
      <c r="G7" s="67" t="s">
        <v>125</v>
      </c>
    </row>
    <row r="8" spans="1:7" ht="14.25" customHeight="1">
      <c r="A8" s="48" t="s">
        <v>111</v>
      </c>
      <c r="B8" s="48" t="s">
        <v>124</v>
      </c>
      <c r="C8" s="48" t="s">
        <v>113</v>
      </c>
      <c r="D8" s="48" t="s">
        <v>121</v>
      </c>
      <c r="E8" s="48" t="s">
        <v>46</v>
      </c>
      <c r="F8" s="24">
        <v>11.249884085261231</v>
      </c>
      <c r="G8" s="67" t="s">
        <v>125</v>
      </c>
    </row>
    <row r="9" spans="1:7" ht="14.25" customHeight="1">
      <c r="A9" s="48" t="s">
        <v>111</v>
      </c>
      <c r="B9" s="48" t="s">
        <v>124</v>
      </c>
      <c r="C9" s="48" t="s">
        <v>113</v>
      </c>
      <c r="D9" s="48" t="s">
        <v>121</v>
      </c>
      <c r="E9" s="48" t="s">
        <v>47</v>
      </c>
      <c r="F9" s="24">
        <v>13.932831311267419</v>
      </c>
      <c r="G9" s="67" t="s">
        <v>125</v>
      </c>
    </row>
    <row r="10" spans="1:7" ht="14.25" customHeight="1">
      <c r="A10" s="48" t="s">
        <v>111</v>
      </c>
      <c r="B10" s="48" t="s">
        <v>124</v>
      </c>
      <c r="C10" s="48" t="s">
        <v>113</v>
      </c>
      <c r="D10" s="48" t="s">
        <v>121</v>
      </c>
      <c r="E10" s="48" t="s">
        <v>48</v>
      </c>
      <c r="F10" s="24">
        <v>14.770431820613339</v>
      </c>
      <c r="G10" s="67" t="s">
        <v>125</v>
      </c>
    </row>
    <row r="11" spans="1:7" ht="14.25" customHeight="1">
      <c r="A11" s="48" t="s">
        <v>111</v>
      </c>
      <c r="B11" s="48" t="s">
        <v>124</v>
      </c>
      <c r="C11" s="48" t="s">
        <v>113</v>
      </c>
      <c r="D11" s="48" t="s">
        <v>121</v>
      </c>
      <c r="E11" s="48" t="s">
        <v>49</v>
      </c>
      <c r="F11" s="24">
        <v>12.924435739226411</v>
      </c>
      <c r="G11" s="67" t="s">
        <v>125</v>
      </c>
    </row>
    <row r="12" spans="1:7" ht="14.25" customHeight="1">
      <c r="A12" s="48" t="s">
        <v>111</v>
      </c>
      <c r="B12" s="48" t="s">
        <v>124</v>
      </c>
      <c r="C12" s="48" t="s">
        <v>113</v>
      </c>
      <c r="D12" s="48" t="s">
        <v>121</v>
      </c>
      <c r="E12" s="48" t="s">
        <v>50</v>
      </c>
      <c r="F12" s="24">
        <v>15.506956617536821</v>
      </c>
      <c r="G12" s="67" t="s">
        <v>125</v>
      </c>
    </row>
    <row r="13" spans="1:7" ht="14.25" customHeight="1">
      <c r="A13" s="48" t="s">
        <v>111</v>
      </c>
      <c r="B13" s="48" t="s">
        <v>124</v>
      </c>
      <c r="C13" s="48" t="s">
        <v>113</v>
      </c>
      <c r="D13" s="48" t="s">
        <v>121</v>
      </c>
      <c r="E13" s="48" t="s">
        <v>51</v>
      </c>
      <c r="F13" s="24">
        <v>15.638457745326811</v>
      </c>
      <c r="G13" s="67" t="s">
        <v>125</v>
      </c>
    </row>
    <row r="14" spans="1:7" ht="14.25" customHeight="1">
      <c r="A14" s="48" t="s">
        <v>111</v>
      </c>
      <c r="B14" s="48" t="s">
        <v>124</v>
      </c>
      <c r="C14" s="48" t="s">
        <v>113</v>
      </c>
      <c r="D14" s="48" t="s">
        <v>121</v>
      </c>
      <c r="E14" s="48" t="s">
        <v>52</v>
      </c>
      <c r="F14" s="24">
        <v>16.395767422090461</v>
      </c>
      <c r="G14" s="67" t="s">
        <v>125</v>
      </c>
    </row>
    <row r="15" spans="1:7" ht="14.25" customHeight="1">
      <c r="A15" s="48" t="s">
        <v>111</v>
      </c>
      <c r="B15" s="48" t="s">
        <v>124</v>
      </c>
      <c r="C15" s="48" t="s">
        <v>113</v>
      </c>
      <c r="D15" s="48" t="s">
        <v>121</v>
      </c>
      <c r="E15" s="48" t="s">
        <v>53</v>
      </c>
      <c r="F15" s="24">
        <v>13.749790523154941</v>
      </c>
      <c r="G15" s="67" t="s">
        <v>125</v>
      </c>
    </row>
    <row r="16" spans="1:7" ht="14.25" customHeight="1">
      <c r="A16" s="48" t="s">
        <v>111</v>
      </c>
      <c r="B16" s="48" t="s">
        <v>124</v>
      </c>
      <c r="C16" s="48" t="s">
        <v>113</v>
      </c>
      <c r="D16" s="48" t="s">
        <v>121</v>
      </c>
      <c r="E16" s="48" t="s">
        <v>54</v>
      </c>
      <c r="F16" s="24">
        <v>13.564736055626421</v>
      </c>
      <c r="G16" s="67" t="s">
        <v>125</v>
      </c>
    </row>
    <row r="17" spans="1:7" ht="14.25" customHeight="1">
      <c r="A17" s="48" t="s">
        <v>111</v>
      </c>
      <c r="B17" s="48" t="s">
        <v>124</v>
      </c>
      <c r="C17" s="48" t="s">
        <v>113</v>
      </c>
      <c r="D17" s="48" t="s">
        <v>121</v>
      </c>
      <c r="E17" s="48" t="s">
        <v>55</v>
      </c>
      <c r="F17" s="24">
        <v>12.64585740317532</v>
      </c>
      <c r="G17" s="67" t="s">
        <v>125</v>
      </c>
    </row>
    <row r="18" spans="1:7" ht="14.25" customHeight="1">
      <c r="A18" s="48" t="s">
        <v>111</v>
      </c>
      <c r="B18" s="48" t="s">
        <v>124</v>
      </c>
      <c r="C18" s="48" t="s">
        <v>113</v>
      </c>
      <c r="D18" s="48" t="s">
        <v>121</v>
      </c>
      <c r="E18" s="48" t="s">
        <v>56</v>
      </c>
      <c r="F18" s="24">
        <v>13.64276698324344</v>
      </c>
      <c r="G18" s="67" t="s">
        <v>125</v>
      </c>
    </row>
    <row r="19" spans="1:7" ht="14.25" customHeight="1">
      <c r="A19" s="48" t="s">
        <v>111</v>
      </c>
      <c r="B19" s="48" t="s">
        <v>124</v>
      </c>
      <c r="C19" s="48" t="s">
        <v>113</v>
      </c>
      <c r="D19" s="48" t="s">
        <v>121</v>
      </c>
      <c r="E19" s="48" t="s">
        <v>57</v>
      </c>
      <c r="F19" s="24">
        <v>10.62892761770617</v>
      </c>
      <c r="G19" s="67" t="s">
        <v>125</v>
      </c>
    </row>
    <row r="20" spans="1:7" ht="14.25" customHeight="1">
      <c r="A20" s="48" t="s">
        <v>111</v>
      </c>
      <c r="B20" s="48" t="s">
        <v>124</v>
      </c>
      <c r="C20" s="48" t="s">
        <v>113</v>
      </c>
      <c r="D20" s="48" t="s">
        <v>121</v>
      </c>
      <c r="E20" s="48" t="s">
        <v>58</v>
      </c>
      <c r="F20" s="24">
        <v>12.453282180020119</v>
      </c>
      <c r="G20" s="67" t="s">
        <v>125</v>
      </c>
    </row>
    <row r="21" spans="1:7" ht="14.25" customHeight="1">
      <c r="A21" s="48" t="s">
        <v>111</v>
      </c>
      <c r="B21" s="48" t="s">
        <v>124</v>
      </c>
      <c r="C21" s="48" t="s">
        <v>113</v>
      </c>
      <c r="D21" s="48" t="s">
        <v>121</v>
      </c>
      <c r="E21" s="48" t="s">
        <v>59</v>
      </c>
      <c r="F21" s="24">
        <v>11.0675036037123</v>
      </c>
      <c r="G21" s="67" t="s">
        <v>125</v>
      </c>
    </row>
    <row r="22" spans="1:7" ht="14.25" customHeight="1">
      <c r="A22" s="48" t="s">
        <v>111</v>
      </c>
      <c r="B22" s="48" t="s">
        <v>124</v>
      </c>
      <c r="C22" s="48" t="s">
        <v>113</v>
      </c>
      <c r="D22" s="48" t="s">
        <v>121</v>
      </c>
      <c r="E22" s="48" t="s">
        <v>60</v>
      </c>
      <c r="F22" s="24">
        <v>8.568519787091244</v>
      </c>
      <c r="G22" s="67" t="s">
        <v>125</v>
      </c>
    </row>
    <row r="23" spans="1:7" ht="14.25" customHeight="1">
      <c r="A23" s="48" t="s">
        <v>111</v>
      </c>
      <c r="B23" s="48" t="s">
        <v>124</v>
      </c>
      <c r="C23" s="48" t="s">
        <v>113</v>
      </c>
      <c r="D23" s="48" t="s">
        <v>121</v>
      </c>
      <c r="E23" s="48" t="s">
        <v>61</v>
      </c>
      <c r="F23" s="24">
        <v>11.97032878826381</v>
      </c>
      <c r="G23" s="67" t="s">
        <v>125</v>
      </c>
    </row>
    <row r="24" spans="1:7" ht="14.25" customHeight="1">
      <c r="A24" s="48" t="s">
        <v>111</v>
      </c>
      <c r="B24" s="48" t="s">
        <v>124</v>
      </c>
      <c r="C24" s="48" t="s">
        <v>113</v>
      </c>
      <c r="D24" s="48" t="s">
        <v>121</v>
      </c>
      <c r="E24" s="48" t="s">
        <v>62</v>
      </c>
      <c r="F24" s="24">
        <v>8.6345738431500578</v>
      </c>
      <c r="G24" s="67" t="s">
        <v>125</v>
      </c>
    </row>
    <row r="25" spans="1:7" ht="14.25" customHeight="1">
      <c r="A25" s="48" t="s">
        <v>111</v>
      </c>
      <c r="B25" s="48" t="s">
        <v>124</v>
      </c>
      <c r="C25" s="48" t="s">
        <v>113</v>
      </c>
      <c r="D25" s="48" t="s">
        <v>121</v>
      </c>
      <c r="E25" s="48" t="s">
        <v>63</v>
      </c>
      <c r="F25" s="24">
        <v>8.5773432033645083</v>
      </c>
      <c r="G25" s="67" t="s">
        <v>125</v>
      </c>
    </row>
    <row r="26" spans="1:7" ht="14.25" customHeight="1">
      <c r="A26" s="48" t="s">
        <v>111</v>
      </c>
      <c r="B26" s="48" t="s">
        <v>124</v>
      </c>
      <c r="C26" s="48" t="s">
        <v>113</v>
      </c>
      <c r="D26" s="48" t="s">
        <v>121</v>
      </c>
      <c r="E26" s="48" t="s">
        <v>64</v>
      </c>
      <c r="F26" s="24">
        <v>7.6946931245555827</v>
      </c>
      <c r="G26" s="67" t="s">
        <v>125</v>
      </c>
    </row>
    <row r="27" spans="1:7">
      <c r="A27" s="48" t="s">
        <v>111</v>
      </c>
      <c r="B27" s="48" t="s">
        <v>124</v>
      </c>
      <c r="C27" s="48" t="s">
        <v>113</v>
      </c>
      <c r="D27" s="48" t="s">
        <v>120</v>
      </c>
      <c r="E27" s="48" t="s">
        <v>65</v>
      </c>
      <c r="F27" s="67">
        <v>8.1294240000000002</v>
      </c>
      <c r="G27" s="67" t="s">
        <v>322</v>
      </c>
    </row>
    <row r="28" spans="1:7">
      <c r="A28" s="48" t="s">
        <v>111</v>
      </c>
      <c r="B28" s="48" t="s">
        <v>124</v>
      </c>
      <c r="C28" s="48" t="s">
        <v>113</v>
      </c>
      <c r="D28" s="48" t="s">
        <v>120</v>
      </c>
      <c r="E28" s="48" t="s">
        <v>66</v>
      </c>
      <c r="F28" s="67">
        <v>7.6750389999999999</v>
      </c>
      <c r="G28" s="67" t="s">
        <v>322</v>
      </c>
    </row>
    <row r="29" spans="1:7">
      <c r="A29" s="48" t="s">
        <v>111</v>
      </c>
      <c r="B29" s="48" t="s">
        <v>124</v>
      </c>
      <c r="C29" s="48" t="s">
        <v>113</v>
      </c>
      <c r="D29" s="48" t="s">
        <v>120</v>
      </c>
      <c r="E29" s="48" t="s">
        <v>67</v>
      </c>
      <c r="F29" s="67">
        <v>7.2219540000000002</v>
      </c>
      <c r="G29" s="67" t="s">
        <v>322</v>
      </c>
    </row>
    <row r="30" spans="1:7">
      <c r="A30" s="48" t="s">
        <v>111</v>
      </c>
      <c r="B30" s="48" t="s">
        <v>124</v>
      </c>
      <c r="C30" s="48" t="s">
        <v>113</v>
      </c>
      <c r="D30" s="48" t="s">
        <v>120</v>
      </c>
      <c r="E30" s="48" t="s">
        <v>68</v>
      </c>
      <c r="F30" s="67">
        <v>6.7719719999999999</v>
      </c>
      <c r="G30" s="67" t="s">
        <v>322</v>
      </c>
    </row>
    <row r="31" spans="1:7">
      <c r="A31" s="48" t="s">
        <v>111</v>
      </c>
      <c r="B31" s="48" t="s">
        <v>124</v>
      </c>
      <c r="C31" s="48" t="s">
        <v>113</v>
      </c>
      <c r="D31" s="48" t="s">
        <v>120</v>
      </c>
      <c r="E31" s="48" t="s">
        <v>69</v>
      </c>
      <c r="F31" s="67">
        <v>6.3269590000000004</v>
      </c>
      <c r="G31" s="67" t="s">
        <v>322</v>
      </c>
    </row>
    <row r="32" spans="1:7">
      <c r="A32" s="48" t="s">
        <v>111</v>
      </c>
      <c r="B32" s="48" t="s">
        <v>124</v>
      </c>
      <c r="C32" s="48" t="s">
        <v>113</v>
      </c>
      <c r="D32" s="48" t="s">
        <v>120</v>
      </c>
      <c r="E32" s="48" t="s">
        <v>319</v>
      </c>
      <c r="F32" s="67">
        <v>5.8888049999999996</v>
      </c>
      <c r="G32" s="67" t="s">
        <v>322</v>
      </c>
    </row>
    <row r="33" spans="1:7">
      <c r="A33" s="48" t="s">
        <v>111</v>
      </c>
      <c r="B33" s="48" t="s">
        <v>124</v>
      </c>
      <c r="C33" s="48" t="s">
        <v>113</v>
      </c>
      <c r="D33" s="48" t="s">
        <v>120</v>
      </c>
      <c r="E33" s="48" t="s">
        <v>70</v>
      </c>
      <c r="F33" s="67">
        <v>5.4593980000000002</v>
      </c>
      <c r="G33" s="67" t="s">
        <v>322</v>
      </c>
    </row>
    <row r="34" spans="1:7">
      <c r="A34" s="48" t="s">
        <v>111</v>
      </c>
      <c r="B34" s="48" t="s">
        <v>124</v>
      </c>
      <c r="C34" s="48" t="s">
        <v>113</v>
      </c>
      <c r="D34" s="48" t="s">
        <v>120</v>
      </c>
      <c r="E34" s="48" t="s">
        <v>71</v>
      </c>
      <c r="F34" s="67">
        <v>5.0405829999999998</v>
      </c>
      <c r="G34" s="67" t="s">
        <v>322</v>
      </c>
    </row>
    <row r="35" spans="1:7">
      <c r="A35" s="48" t="s">
        <v>111</v>
      </c>
      <c r="B35" s="48" t="s">
        <v>124</v>
      </c>
      <c r="C35" s="48" t="s">
        <v>113</v>
      </c>
      <c r="D35" s="48" t="s">
        <v>120</v>
      </c>
      <c r="E35" s="48" t="s">
        <v>72</v>
      </c>
      <c r="F35" s="67">
        <v>4.6341289999999997</v>
      </c>
      <c r="G35" s="67" t="s">
        <v>322</v>
      </c>
    </row>
    <row r="36" spans="1:7">
      <c r="A36" s="48" t="s">
        <v>111</v>
      </c>
      <c r="B36" s="48" t="s">
        <v>124</v>
      </c>
      <c r="C36" s="48" t="s">
        <v>113</v>
      </c>
      <c r="D36" s="48" t="s">
        <v>120</v>
      </c>
      <c r="E36" s="48" t="s">
        <v>73</v>
      </c>
      <c r="F36" s="67">
        <v>4.2416989999999997</v>
      </c>
      <c r="G36" s="67" t="s">
        <v>322</v>
      </c>
    </row>
    <row r="37" spans="1:7">
      <c r="A37" s="48" t="s">
        <v>111</v>
      </c>
      <c r="B37" s="48" t="s">
        <v>124</v>
      </c>
      <c r="C37" s="48" t="s">
        <v>113</v>
      </c>
      <c r="D37" s="48" t="s">
        <v>120</v>
      </c>
      <c r="E37" s="48" t="s">
        <v>74</v>
      </c>
      <c r="F37" s="67">
        <v>3.9499849999999999</v>
      </c>
      <c r="G37" s="67" t="s">
        <v>322</v>
      </c>
    </row>
  </sheetData>
  <conditionalFormatting sqref="F2:F37">
    <cfRule type="dataBar" priority="75">
      <dataBar>
        <cfvo type="min"/>
        <cfvo type="max"/>
        <color rgb="FF63C384"/>
      </dataBar>
    </cfRule>
  </conditionalFormatting>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AA80"/>
  <sheetViews>
    <sheetView tabSelected="1" workbookViewId="0">
      <selection activeCell="AM32" sqref="AM32"/>
    </sheetView>
  </sheetViews>
  <sheetFormatPr defaultRowHeight="15.75" customHeight="1"/>
  <cols>
    <col min="1" max="1" width="4.5" bestFit="1" customWidth="1"/>
    <col min="2" max="3" width="8.25" bestFit="1" customWidth="1"/>
    <col min="4" max="4" width="26.375" bestFit="1" customWidth="1"/>
    <col min="5" max="6" width="8.25" bestFit="1" customWidth="1"/>
    <col min="7" max="7" width="26.75" bestFit="1" customWidth="1"/>
    <col min="8" max="9" width="8.25" bestFit="1" customWidth="1"/>
    <col min="10" max="10" width="24" bestFit="1" customWidth="1"/>
    <col min="11" max="11" width="4" customWidth="1"/>
    <col min="12" max="12" width="4.75" bestFit="1" customWidth="1"/>
    <col min="13" max="15" width="8.25" bestFit="1" customWidth="1"/>
    <col min="16" max="16" width="9.875" bestFit="1" customWidth="1"/>
    <col min="17" max="17" width="9.125" bestFit="1" customWidth="1"/>
    <col min="18" max="18" width="9" bestFit="1" customWidth="1"/>
    <col min="19" max="19" width="10" bestFit="1" customWidth="1"/>
    <col min="20" max="20" width="9.25" bestFit="1" customWidth="1"/>
    <col min="21" max="21" width="9.125" bestFit="1" customWidth="1"/>
    <col min="22" max="22" width="15.625" bestFit="1" customWidth="1"/>
    <col min="23" max="23" width="14.875" bestFit="1" customWidth="1"/>
    <col min="24" max="24" width="14.75" bestFit="1" customWidth="1"/>
    <col min="25" max="25" width="23.375" bestFit="1" customWidth="1"/>
    <col min="26" max="26" width="23.25" bestFit="1" customWidth="1"/>
    <col min="27" max="27" width="22.375" bestFit="1" customWidth="1"/>
  </cols>
  <sheetData>
    <row r="1" spans="1:27" ht="15.75" customHeight="1" thickBot="1">
      <c r="A1" s="88" t="s">
        <v>0</v>
      </c>
      <c r="B1" s="25" t="s">
        <v>1</v>
      </c>
      <c r="C1" s="26" t="s">
        <v>2</v>
      </c>
      <c r="D1" s="27" t="s">
        <v>3</v>
      </c>
      <c r="E1" s="25" t="s">
        <v>4</v>
      </c>
      <c r="F1" s="26" t="s">
        <v>5</v>
      </c>
      <c r="G1" s="27" t="s">
        <v>6</v>
      </c>
      <c r="H1" s="30" t="s">
        <v>7</v>
      </c>
      <c r="I1" s="31" t="s">
        <v>8</v>
      </c>
      <c r="J1" s="32" t="s">
        <v>9</v>
      </c>
      <c r="K1" s="20"/>
      <c r="L1" s="31" t="s">
        <v>10</v>
      </c>
      <c r="M1" s="31" t="s">
        <v>11</v>
      </c>
      <c r="N1" s="31" t="s">
        <v>12</v>
      </c>
      <c r="O1" s="31" t="s">
        <v>13</v>
      </c>
      <c r="P1" s="37" t="s">
        <v>14</v>
      </c>
      <c r="Q1" s="37" t="s">
        <v>15</v>
      </c>
      <c r="R1" s="37" t="s">
        <v>16</v>
      </c>
      <c r="S1" s="38" t="s">
        <v>17</v>
      </c>
      <c r="T1" s="38" t="s">
        <v>18</v>
      </c>
      <c r="U1" s="38" t="s">
        <v>19</v>
      </c>
      <c r="V1" s="39" t="s">
        <v>20</v>
      </c>
      <c r="W1" s="40" t="s">
        <v>21</v>
      </c>
      <c r="X1" s="41" t="s">
        <v>22</v>
      </c>
      <c r="Y1" s="42" t="s">
        <v>23</v>
      </c>
      <c r="Z1" s="42" t="s">
        <v>24</v>
      </c>
      <c r="AA1" s="42" t="s">
        <v>25</v>
      </c>
    </row>
    <row r="2" spans="1:27" ht="15.75" customHeight="1" thickBot="1">
      <c r="A2" s="89" t="s">
        <v>40</v>
      </c>
      <c r="B2" s="87">
        <f>VIOLA_IOWA_pp!H2</f>
        <v>16.876076135372639</v>
      </c>
      <c r="C2" s="24">
        <f>VIOLA__ORCH_pp!F2</f>
        <v>18.3280284214642</v>
      </c>
      <c r="D2" s="29">
        <f t="shared" ref="D2" si="0">AVERAGE(B2:C2)</f>
        <v>17.602052278418419</v>
      </c>
      <c r="E2" s="28">
        <f>VIOLA__IOWA_mf!H2</f>
        <v>18.562339625761862</v>
      </c>
      <c r="F2" s="24">
        <f>VIOLA__ORCH_mf!F2</f>
        <v>21.461219417225479</v>
      </c>
      <c r="G2" s="29">
        <f t="shared" ref="G2" si="1">AVERAGE(E2:F2)</f>
        <v>20.011779521493672</v>
      </c>
      <c r="H2" s="33">
        <f>VIOLA_IOWA_ff!H2</f>
        <v>18.075050486304541</v>
      </c>
      <c r="I2" s="34">
        <f>VIOLA__ORCH_ff!F2</f>
        <v>18.948740849245429</v>
      </c>
      <c r="J2" s="35">
        <f t="shared" ref="J2" si="2">AVERAGE(H2:I2)</f>
        <v>18.511895667774986</v>
      </c>
      <c r="K2" s="20"/>
      <c r="L2" s="46" t="str">
        <f t="shared" ref="L2" si="3">A2</f>
        <v>C5</v>
      </c>
      <c r="M2" s="47">
        <f t="shared" ref="M2" si="4">D2</f>
        <v>17.602052278418419</v>
      </c>
      <c r="N2" s="47">
        <f t="shared" ref="N2" si="5">G2</f>
        <v>20.011779521493672</v>
      </c>
      <c r="O2" s="47">
        <f t="shared" ref="O2" si="6">J2</f>
        <v>18.511895667774986</v>
      </c>
      <c r="P2" s="45">
        <f t="shared" ref="P2" si="7">E2-B2</f>
        <v>1.6862634903892229</v>
      </c>
      <c r="Q2" s="43">
        <f t="shared" ref="Q2" si="8">H2-E2</f>
        <v>-0.48728913945732089</v>
      </c>
      <c r="R2" s="43">
        <f t="shared" ref="R2" si="9">H2-B2</f>
        <v>1.198974350931902</v>
      </c>
      <c r="S2" s="43">
        <f t="shared" ref="S2" si="10">F2-C2</f>
        <v>3.1331909957612787</v>
      </c>
      <c r="T2" s="43">
        <f t="shared" ref="T2" si="11">I2-F2</f>
        <v>-2.5124785679800503</v>
      </c>
      <c r="U2" s="43">
        <f t="shared" ref="U2" si="12">I2-C2</f>
        <v>0.62071242778122837</v>
      </c>
      <c r="V2" s="44">
        <f t="shared" ref="V2" si="13">N2-M2</f>
        <v>2.4097272430752525</v>
      </c>
      <c r="W2" s="44">
        <f t="shared" ref="W2" si="14">O2-N2</f>
        <v>-1.4998838537186856</v>
      </c>
      <c r="X2" s="44">
        <f t="shared" ref="X2" si="15">O2-M2</f>
        <v>0.90984338935656695</v>
      </c>
      <c r="Y2" s="43">
        <f t="shared" ref="Y2" si="16">ABS(C2-B2)/2</f>
        <v>0.72597614304578073</v>
      </c>
      <c r="Z2" s="43">
        <f t="shared" ref="Z2" si="17">ABS(F2-E2)/2</f>
        <v>1.4494398957318086</v>
      </c>
      <c r="AA2" s="43">
        <f t="shared" ref="AA2" si="18">ABS(I2-H2)/2</f>
        <v>0.43684518147044393</v>
      </c>
    </row>
    <row r="3" spans="1:27" ht="15.75" customHeight="1" thickBot="1">
      <c r="A3" s="85" t="s">
        <v>41</v>
      </c>
      <c r="B3" s="87">
        <f>VIOLA_IOWA_pp!H3</f>
        <v>15.847196834589081</v>
      </c>
      <c r="C3" s="24">
        <f>VIOLA__ORCH_pp!F3</f>
        <v>18.44501140892368</v>
      </c>
      <c r="D3" s="29">
        <f t="shared" ref="D3:D37" si="19">AVERAGE(B3:C3)</f>
        <v>17.14610412175638</v>
      </c>
      <c r="E3" s="28">
        <f>VIOLA__IOWA_mf!H3</f>
        <v>17.172174519343649</v>
      </c>
      <c r="F3" s="24">
        <f>VIOLA__ORCH_mf!F3</f>
        <v>18.358405570183791</v>
      </c>
      <c r="G3" s="29">
        <f t="shared" ref="G3:G37" si="20">AVERAGE(E3:F3)</f>
        <v>17.76529004476372</v>
      </c>
      <c r="H3" s="33">
        <f>VIOLA_IOWA_ff!H3</f>
        <v>18.648787733399551</v>
      </c>
      <c r="I3" s="34">
        <f>VIOLA__ORCH_ff!F3</f>
        <v>17.368003919209539</v>
      </c>
      <c r="J3" s="35">
        <f t="shared" ref="J3:J37" si="21">AVERAGE(H3:I3)</f>
        <v>18.008395826304543</v>
      </c>
      <c r="K3" s="20"/>
      <c r="L3" s="46" t="str">
        <f t="shared" ref="L3:L37" si="22">A3</f>
        <v>Db5</v>
      </c>
      <c r="M3" s="47">
        <f t="shared" ref="M3:M37" si="23">D3</f>
        <v>17.14610412175638</v>
      </c>
      <c r="N3" s="47">
        <f t="shared" ref="N3:N37" si="24">G3</f>
        <v>17.76529004476372</v>
      </c>
      <c r="O3" s="47">
        <f t="shared" ref="O3:O37" si="25">J3</f>
        <v>18.008395826304543</v>
      </c>
      <c r="P3" s="45">
        <f t="shared" ref="P3:P37" si="26">E3-B3</f>
        <v>1.3249776847545682</v>
      </c>
      <c r="Q3" s="43">
        <f t="shared" ref="Q3:Q37" si="27">H3-E3</f>
        <v>1.4766132140559023</v>
      </c>
      <c r="R3" s="43">
        <f t="shared" ref="R3:R37" si="28">H3-B3</f>
        <v>2.8015908988104705</v>
      </c>
      <c r="S3" s="43">
        <f t="shared" ref="S3:S37" si="29">F3-C3</f>
        <v>-8.6605838739888696E-2</v>
      </c>
      <c r="T3" s="43">
        <f t="shared" ref="T3:T37" si="30">I3-F3</f>
        <v>-0.99040165097425259</v>
      </c>
      <c r="U3" s="43">
        <f t="shared" ref="U3:U37" si="31">I3-C3</f>
        <v>-1.0770074897141413</v>
      </c>
      <c r="V3" s="44">
        <f t="shared" ref="V3:V37" si="32">N3-M3</f>
        <v>0.61918592300733977</v>
      </c>
      <c r="W3" s="44">
        <f t="shared" ref="W3:W37" si="33">O3-N3</f>
        <v>0.24310578154082307</v>
      </c>
      <c r="X3" s="44">
        <f t="shared" ref="X3:X37" si="34">O3-M3</f>
        <v>0.86229170454816284</v>
      </c>
      <c r="Y3" s="43">
        <f t="shared" ref="Y3:Y37" si="35">ABS(C3-B3)/2</f>
        <v>1.2989072871672995</v>
      </c>
      <c r="Z3" s="43">
        <f t="shared" ref="Z3:Z37" si="36">ABS(F3-E3)/2</f>
        <v>0.59311552542007107</v>
      </c>
      <c r="AA3" s="43">
        <f t="shared" ref="AA3:AA37" si="37">ABS(I3-H3)/2</f>
        <v>0.64039190709500637</v>
      </c>
    </row>
    <row r="4" spans="1:27" ht="15.75" customHeight="1" thickBot="1">
      <c r="A4" s="85" t="s">
        <v>42</v>
      </c>
      <c r="B4" s="87">
        <f>VIOLA_IOWA_pp!H4</f>
        <v>15.658505295300779</v>
      </c>
      <c r="C4" s="24">
        <f>VIOLA__ORCH_pp!F4</f>
        <v>19.373795923239332</v>
      </c>
      <c r="D4" s="29">
        <f t="shared" si="19"/>
        <v>17.516150609270056</v>
      </c>
      <c r="E4" s="28">
        <f>VIOLA__IOWA_mf!H4</f>
        <v>18.624395287964528</v>
      </c>
      <c r="F4" s="24">
        <f>VIOLA__ORCH_mf!F4</f>
        <v>17.50889292053715</v>
      </c>
      <c r="G4" s="29">
        <f t="shared" si="20"/>
        <v>18.066644104250841</v>
      </c>
      <c r="H4" s="33">
        <f>VIOLA_IOWA_ff!H4</f>
        <v>19.83188648745843</v>
      </c>
      <c r="I4" s="34">
        <f>VIOLA__ORCH_ff!F4</f>
        <v>19.74139435343184</v>
      </c>
      <c r="J4" s="35">
        <f t="shared" si="21"/>
        <v>19.786640420445135</v>
      </c>
      <c r="K4" s="20"/>
      <c r="L4" s="46" t="str">
        <f t="shared" si="22"/>
        <v>D5</v>
      </c>
      <c r="M4" s="47">
        <f t="shared" si="23"/>
        <v>17.516150609270056</v>
      </c>
      <c r="N4" s="47">
        <f t="shared" si="24"/>
        <v>18.066644104250841</v>
      </c>
      <c r="O4" s="47">
        <f t="shared" si="25"/>
        <v>19.786640420445135</v>
      </c>
      <c r="P4" s="45">
        <f t="shared" si="26"/>
        <v>2.9658899926637492</v>
      </c>
      <c r="Q4" s="43">
        <f t="shared" si="27"/>
        <v>1.2074911994939015</v>
      </c>
      <c r="R4" s="43">
        <f t="shared" si="28"/>
        <v>4.1733811921576507</v>
      </c>
      <c r="S4" s="43">
        <f t="shared" si="29"/>
        <v>-1.8649030027021816</v>
      </c>
      <c r="T4" s="43">
        <f t="shared" si="30"/>
        <v>2.2325014328946899</v>
      </c>
      <c r="U4" s="43">
        <f t="shared" si="31"/>
        <v>0.36759843019250837</v>
      </c>
      <c r="V4" s="44">
        <f t="shared" si="32"/>
        <v>0.5504934949807847</v>
      </c>
      <c r="W4" s="44">
        <f t="shared" si="33"/>
        <v>1.7199963161942939</v>
      </c>
      <c r="X4" s="44">
        <f t="shared" si="34"/>
        <v>2.2704898111750786</v>
      </c>
      <c r="Y4" s="43">
        <f t="shared" si="35"/>
        <v>1.8576453139692761</v>
      </c>
      <c r="Z4" s="43">
        <f t="shared" si="36"/>
        <v>0.55775118371368926</v>
      </c>
      <c r="AA4" s="43">
        <f t="shared" si="37"/>
        <v>4.5246067013295033E-2</v>
      </c>
    </row>
    <row r="5" spans="1:27" ht="15.75" customHeight="1" thickBot="1">
      <c r="A5" s="85" t="s">
        <v>43</v>
      </c>
      <c r="B5" s="87">
        <f>VIOLA_IOWA_pp!H5</f>
        <v>17.079848612595288</v>
      </c>
      <c r="C5" s="24">
        <f>VIOLA__ORCH_pp!F5</f>
        <v>20.408163720240541</v>
      </c>
      <c r="D5" s="29">
        <f t="shared" si="19"/>
        <v>18.744006166417915</v>
      </c>
      <c r="E5" s="28">
        <f>VIOLA__IOWA_mf!H5</f>
        <v>16.75551266620591</v>
      </c>
      <c r="F5" s="24">
        <f>VIOLA__ORCH_mf!F5</f>
        <v>15.14620468816722</v>
      </c>
      <c r="G5" s="29">
        <f t="shared" si="20"/>
        <v>15.950858677186565</v>
      </c>
      <c r="H5" s="33">
        <f>VIOLA_IOWA_ff!H5</f>
        <v>17.457204330941298</v>
      </c>
      <c r="I5" s="34">
        <f>VIOLA__ORCH_ff!F5</f>
        <v>18.997535747776851</v>
      </c>
      <c r="J5" s="35">
        <f t="shared" si="21"/>
        <v>18.227370039359073</v>
      </c>
      <c r="K5" s="20"/>
      <c r="L5" s="46" t="str">
        <f t="shared" si="22"/>
        <v>Eb5</v>
      </c>
      <c r="M5" s="47">
        <f t="shared" si="23"/>
        <v>18.744006166417915</v>
      </c>
      <c r="N5" s="47">
        <f t="shared" si="24"/>
        <v>15.950858677186565</v>
      </c>
      <c r="O5" s="47">
        <f t="shared" si="25"/>
        <v>18.227370039359073</v>
      </c>
      <c r="P5" s="45">
        <f t="shared" si="26"/>
        <v>-0.3243359463893789</v>
      </c>
      <c r="Q5" s="43">
        <f t="shared" si="27"/>
        <v>0.7016916647353888</v>
      </c>
      <c r="R5" s="43">
        <f t="shared" si="28"/>
        <v>0.37735571834600989</v>
      </c>
      <c r="S5" s="43">
        <f t="shared" si="29"/>
        <v>-5.2619590320733209</v>
      </c>
      <c r="T5" s="43">
        <f t="shared" si="30"/>
        <v>3.8513310596096311</v>
      </c>
      <c r="U5" s="43">
        <f t="shared" si="31"/>
        <v>-1.4106279724636899</v>
      </c>
      <c r="V5" s="44">
        <f t="shared" si="32"/>
        <v>-2.7931474892313499</v>
      </c>
      <c r="W5" s="44">
        <f t="shared" si="33"/>
        <v>2.2765113621725082</v>
      </c>
      <c r="X5" s="44">
        <f t="shared" si="34"/>
        <v>-0.51663612705884177</v>
      </c>
      <c r="Y5" s="43">
        <f t="shared" si="35"/>
        <v>1.6641575538226263</v>
      </c>
      <c r="Z5" s="43">
        <f t="shared" si="36"/>
        <v>0.80465398901934471</v>
      </c>
      <c r="AA5" s="43">
        <f t="shared" si="37"/>
        <v>0.77016570841777643</v>
      </c>
    </row>
    <row r="6" spans="1:27" ht="15.75" customHeight="1" thickBot="1">
      <c r="A6" s="85" t="s">
        <v>44</v>
      </c>
      <c r="B6" s="87">
        <f>VIOLA_IOWA_pp!H6</f>
        <v>16.051710644063849</v>
      </c>
      <c r="C6" s="24">
        <f>VIOLA__ORCH_pp!F6</f>
        <v>17.35233528639629</v>
      </c>
      <c r="D6" s="29">
        <f t="shared" si="19"/>
        <v>16.702022965230071</v>
      </c>
      <c r="E6" s="28">
        <f>VIOLA__IOWA_mf!H6</f>
        <v>15.251032910966069</v>
      </c>
      <c r="F6" s="24">
        <f>VIOLA__ORCH_mf!F6</f>
        <v>12.869643199502431</v>
      </c>
      <c r="G6" s="29">
        <f t="shared" si="20"/>
        <v>14.060338055234251</v>
      </c>
      <c r="H6" s="33">
        <f>VIOLA_IOWA_ff!H6</f>
        <v>14.97764632540818</v>
      </c>
      <c r="I6" s="34">
        <f>VIOLA__ORCH_ff!F6</f>
        <v>17.146357297649001</v>
      </c>
      <c r="J6" s="35">
        <f t="shared" si="21"/>
        <v>16.062001811528589</v>
      </c>
      <c r="K6" s="20"/>
      <c r="L6" s="46" t="str">
        <f t="shared" si="22"/>
        <v>E5</v>
      </c>
      <c r="M6" s="47">
        <f t="shared" si="23"/>
        <v>16.702022965230071</v>
      </c>
      <c r="N6" s="47">
        <f t="shared" si="24"/>
        <v>14.060338055234251</v>
      </c>
      <c r="O6" s="47">
        <f t="shared" si="25"/>
        <v>16.062001811528589</v>
      </c>
      <c r="P6" s="45">
        <f t="shared" si="26"/>
        <v>-0.80067773309778012</v>
      </c>
      <c r="Q6" s="43">
        <f t="shared" si="27"/>
        <v>-0.27338658555788875</v>
      </c>
      <c r="R6" s="43">
        <f t="shared" si="28"/>
        <v>-1.0740643186556689</v>
      </c>
      <c r="S6" s="43">
        <f t="shared" si="29"/>
        <v>-4.4826920868938593</v>
      </c>
      <c r="T6" s="43">
        <f t="shared" si="30"/>
        <v>4.2767140981465701</v>
      </c>
      <c r="U6" s="43">
        <f t="shared" si="31"/>
        <v>-0.20597798874728923</v>
      </c>
      <c r="V6" s="44">
        <f t="shared" si="32"/>
        <v>-2.6416849099958206</v>
      </c>
      <c r="W6" s="44">
        <f t="shared" si="33"/>
        <v>2.001663756294338</v>
      </c>
      <c r="X6" s="44">
        <f t="shared" si="34"/>
        <v>-0.6400211537014826</v>
      </c>
      <c r="Y6" s="43">
        <f t="shared" si="35"/>
        <v>0.65031232116622029</v>
      </c>
      <c r="Z6" s="43">
        <f t="shared" si="36"/>
        <v>1.1906948557318193</v>
      </c>
      <c r="AA6" s="43">
        <f t="shared" si="37"/>
        <v>1.0843554861204101</v>
      </c>
    </row>
    <row r="7" spans="1:27" ht="15.75" customHeight="1" thickBot="1">
      <c r="A7" s="85" t="s">
        <v>45</v>
      </c>
      <c r="B7" s="87">
        <f>VIOLA_IOWA_pp!H7</f>
        <v>16.15252187636607</v>
      </c>
      <c r="C7" s="24">
        <f>VIOLA__ORCH_pp!F7</f>
        <v>15.034336101264991</v>
      </c>
      <c r="D7" s="29">
        <f t="shared" si="19"/>
        <v>15.59342898881553</v>
      </c>
      <c r="E7" s="28">
        <f>VIOLA__IOWA_mf!H7</f>
        <v>16.561548332273109</v>
      </c>
      <c r="F7" s="24">
        <f>VIOLA__ORCH_mf!F7</f>
        <v>13.46408161052484</v>
      </c>
      <c r="G7" s="29">
        <f t="shared" si="20"/>
        <v>15.012814971398974</v>
      </c>
      <c r="H7" s="33">
        <f>VIOLA_IOWA_ff!H7</f>
        <v>16.77664123550533</v>
      </c>
      <c r="I7" s="34">
        <f>VIOLA__ORCH_ff!F7</f>
        <v>14.249828417928461</v>
      </c>
      <c r="J7" s="35">
        <f t="shared" si="21"/>
        <v>15.513234826716896</v>
      </c>
      <c r="K7" s="20"/>
      <c r="L7" s="46" t="str">
        <f t="shared" si="22"/>
        <v>F5</v>
      </c>
      <c r="M7" s="47">
        <f t="shared" si="23"/>
        <v>15.59342898881553</v>
      </c>
      <c r="N7" s="47">
        <f t="shared" si="24"/>
        <v>15.012814971398974</v>
      </c>
      <c r="O7" s="47">
        <f t="shared" si="25"/>
        <v>15.513234826716896</v>
      </c>
      <c r="P7" s="45">
        <f t="shared" si="26"/>
        <v>0.40902645590703912</v>
      </c>
      <c r="Q7" s="43">
        <f t="shared" si="27"/>
        <v>0.21509290323222174</v>
      </c>
      <c r="R7" s="43">
        <f t="shared" si="28"/>
        <v>0.62411935913926087</v>
      </c>
      <c r="S7" s="43">
        <f t="shared" si="29"/>
        <v>-1.570254490740151</v>
      </c>
      <c r="T7" s="43">
        <f t="shared" si="30"/>
        <v>0.78574680740362091</v>
      </c>
      <c r="U7" s="43">
        <f t="shared" si="31"/>
        <v>-0.78450768333653009</v>
      </c>
      <c r="V7" s="44">
        <f t="shared" si="32"/>
        <v>-0.58061401741655594</v>
      </c>
      <c r="W7" s="44">
        <f t="shared" si="33"/>
        <v>0.50041985531792221</v>
      </c>
      <c r="X7" s="44">
        <f t="shared" si="34"/>
        <v>-8.0194162098633726E-2</v>
      </c>
      <c r="Y7" s="43">
        <f t="shared" si="35"/>
        <v>0.55909288755053943</v>
      </c>
      <c r="Z7" s="43">
        <f t="shared" si="36"/>
        <v>1.5487333608741345</v>
      </c>
      <c r="AA7" s="43">
        <f t="shared" si="37"/>
        <v>1.2634064087884349</v>
      </c>
    </row>
    <row r="8" spans="1:27" ht="15.75" customHeight="1" thickBot="1">
      <c r="A8" s="85" t="s">
        <v>46</v>
      </c>
      <c r="B8" s="87">
        <f>VIOLA_IOWA_pp!H8</f>
        <v>12.6470306347739</v>
      </c>
      <c r="C8" s="24">
        <f>VIOLA__ORCH_pp!F8</f>
        <v>11.051761972185041</v>
      </c>
      <c r="D8" s="29">
        <f t="shared" si="19"/>
        <v>11.84939630347947</v>
      </c>
      <c r="E8" s="28">
        <f>VIOLA__IOWA_mf!H8</f>
        <v>14.62034704878482</v>
      </c>
      <c r="F8" s="24">
        <f>VIOLA__ORCH_mf!F8</f>
        <v>13.978764685671059</v>
      </c>
      <c r="G8" s="29">
        <f t="shared" si="20"/>
        <v>14.299555867227941</v>
      </c>
      <c r="H8" s="33">
        <f>VIOLA_IOWA_ff!H8</f>
        <v>15.46619999264456</v>
      </c>
      <c r="I8" s="34">
        <f>VIOLA__ORCH_ff!F8</f>
        <v>11.249884085261231</v>
      </c>
      <c r="J8" s="35">
        <f t="shared" si="21"/>
        <v>13.358042038952895</v>
      </c>
      <c r="K8" s="20"/>
      <c r="L8" s="46" t="str">
        <f t="shared" si="22"/>
        <v>Gb5</v>
      </c>
      <c r="M8" s="47">
        <f t="shared" si="23"/>
        <v>11.84939630347947</v>
      </c>
      <c r="N8" s="47">
        <f t="shared" si="24"/>
        <v>14.299555867227941</v>
      </c>
      <c r="O8" s="47">
        <f t="shared" si="25"/>
        <v>13.358042038952895</v>
      </c>
      <c r="P8" s="45">
        <f t="shared" si="26"/>
        <v>1.9733164140109203</v>
      </c>
      <c r="Q8" s="43">
        <f t="shared" si="27"/>
        <v>0.84585294385973953</v>
      </c>
      <c r="R8" s="43">
        <f t="shared" si="28"/>
        <v>2.8191693578706598</v>
      </c>
      <c r="S8" s="43">
        <f t="shared" si="29"/>
        <v>2.9270027134860186</v>
      </c>
      <c r="T8" s="43">
        <f t="shared" si="30"/>
        <v>-2.7288806004098287</v>
      </c>
      <c r="U8" s="43">
        <f t="shared" si="31"/>
        <v>0.19812211307618988</v>
      </c>
      <c r="V8" s="44">
        <f t="shared" si="32"/>
        <v>2.4501595637484712</v>
      </c>
      <c r="W8" s="44">
        <f t="shared" si="33"/>
        <v>-0.94151382827504548</v>
      </c>
      <c r="X8" s="44">
        <f t="shared" si="34"/>
        <v>1.5086457354734257</v>
      </c>
      <c r="Y8" s="43">
        <f t="shared" si="35"/>
        <v>0.79763433129442962</v>
      </c>
      <c r="Z8" s="43">
        <f t="shared" si="36"/>
        <v>0.32079118155688047</v>
      </c>
      <c r="AA8" s="43">
        <f t="shared" si="37"/>
        <v>2.1081579536916646</v>
      </c>
    </row>
    <row r="9" spans="1:27" ht="15.75" customHeight="1" thickBot="1">
      <c r="A9" s="85" t="s">
        <v>47</v>
      </c>
      <c r="B9" s="87">
        <f>VIOLA_IOWA_pp!H9</f>
        <v>14.204242118607549</v>
      </c>
      <c r="C9" s="24">
        <f>VIOLA__ORCH_pp!F9</f>
        <v>14.04460460132557</v>
      </c>
      <c r="D9" s="29">
        <f t="shared" si="19"/>
        <v>14.12442335996656</v>
      </c>
      <c r="E9" s="28">
        <f>VIOLA__IOWA_mf!H9</f>
        <v>14.307194461206921</v>
      </c>
      <c r="F9" s="24">
        <f>VIOLA__ORCH_mf!F9</f>
        <v>17.92292149444237</v>
      </c>
      <c r="G9" s="29">
        <f t="shared" si="20"/>
        <v>16.115057977824645</v>
      </c>
      <c r="H9" s="33">
        <f>VIOLA_IOWA_ff!H9</f>
        <v>14.477360058962001</v>
      </c>
      <c r="I9" s="34">
        <f>VIOLA__ORCH_ff!F9</f>
        <v>13.932831311267419</v>
      </c>
      <c r="J9" s="35">
        <f t="shared" si="21"/>
        <v>14.20509568511471</v>
      </c>
      <c r="K9" s="20"/>
      <c r="L9" s="46" t="str">
        <f t="shared" si="22"/>
        <v>G5</v>
      </c>
      <c r="M9" s="47">
        <f t="shared" si="23"/>
        <v>14.12442335996656</v>
      </c>
      <c r="N9" s="47">
        <f t="shared" si="24"/>
        <v>16.115057977824645</v>
      </c>
      <c r="O9" s="47">
        <f t="shared" si="25"/>
        <v>14.20509568511471</v>
      </c>
      <c r="P9" s="45">
        <f t="shared" si="26"/>
        <v>0.10295234259937125</v>
      </c>
      <c r="Q9" s="43">
        <f t="shared" si="27"/>
        <v>0.17016559775508</v>
      </c>
      <c r="R9" s="43">
        <f t="shared" si="28"/>
        <v>0.27311794035445125</v>
      </c>
      <c r="S9" s="43">
        <f t="shared" si="29"/>
        <v>3.8783168931167999</v>
      </c>
      <c r="T9" s="43">
        <f t="shared" si="30"/>
        <v>-3.9900901831749511</v>
      </c>
      <c r="U9" s="43">
        <f t="shared" si="31"/>
        <v>-0.11177329005815118</v>
      </c>
      <c r="V9" s="44">
        <f t="shared" si="32"/>
        <v>1.9906346178580847</v>
      </c>
      <c r="W9" s="44">
        <f t="shared" si="33"/>
        <v>-1.9099622927099347</v>
      </c>
      <c r="X9" s="44">
        <f t="shared" si="34"/>
        <v>8.0672325148150037E-2</v>
      </c>
      <c r="Y9" s="43">
        <f t="shared" si="35"/>
        <v>7.9818758640989529E-2</v>
      </c>
      <c r="Z9" s="43">
        <f t="shared" si="36"/>
        <v>1.8078635166177248</v>
      </c>
      <c r="AA9" s="43">
        <f t="shared" si="37"/>
        <v>0.27226437384729074</v>
      </c>
    </row>
    <row r="10" spans="1:27" ht="15.75" customHeight="1" thickBot="1">
      <c r="A10" s="85" t="s">
        <v>48</v>
      </c>
      <c r="B10" s="87">
        <f>VIOLA_IOWA_pp!H10</f>
        <v>13.83704161393217</v>
      </c>
      <c r="C10" s="24">
        <f>VIOLA__ORCH_pp!F10</f>
        <v>14.686980057010061</v>
      </c>
      <c r="D10" s="29">
        <f t="shared" si="19"/>
        <v>14.262010835471116</v>
      </c>
      <c r="E10" s="28">
        <f>VIOLA__IOWA_mf!H10</f>
        <v>13.63322441414557</v>
      </c>
      <c r="F10" s="24">
        <f>VIOLA__ORCH_mf!F10</f>
        <v>17.8092353960418</v>
      </c>
      <c r="G10" s="29">
        <f t="shared" si="20"/>
        <v>15.721229905093685</v>
      </c>
      <c r="H10" s="33">
        <f>VIOLA_IOWA_ff!H10</f>
        <v>16.053308412098019</v>
      </c>
      <c r="I10" s="34">
        <f>VIOLA__ORCH_ff!F10</f>
        <v>14.770431820613339</v>
      </c>
      <c r="J10" s="35">
        <f t="shared" si="21"/>
        <v>15.411870116355679</v>
      </c>
      <c r="K10" s="20"/>
      <c r="L10" s="46" t="str">
        <f t="shared" si="22"/>
        <v>Ab5</v>
      </c>
      <c r="M10" s="47">
        <f t="shared" si="23"/>
        <v>14.262010835471116</v>
      </c>
      <c r="N10" s="47">
        <f t="shared" si="24"/>
        <v>15.721229905093685</v>
      </c>
      <c r="O10" s="47">
        <f t="shared" si="25"/>
        <v>15.411870116355679</v>
      </c>
      <c r="P10" s="45">
        <f t="shared" si="26"/>
        <v>-0.20381719978660051</v>
      </c>
      <c r="Q10" s="43">
        <f t="shared" si="27"/>
        <v>2.4200839979524496</v>
      </c>
      <c r="R10" s="43">
        <f t="shared" si="28"/>
        <v>2.216266798165849</v>
      </c>
      <c r="S10" s="43">
        <f t="shared" si="29"/>
        <v>3.1222553390317387</v>
      </c>
      <c r="T10" s="43">
        <f t="shared" si="30"/>
        <v>-3.0388035754284601</v>
      </c>
      <c r="U10" s="43">
        <f t="shared" si="31"/>
        <v>8.345176360327855E-2</v>
      </c>
      <c r="V10" s="44">
        <f t="shared" si="32"/>
        <v>1.4592190696225682</v>
      </c>
      <c r="W10" s="44">
        <f t="shared" si="33"/>
        <v>-0.30935978873800529</v>
      </c>
      <c r="X10" s="44">
        <f t="shared" si="34"/>
        <v>1.1498592808845629</v>
      </c>
      <c r="Y10" s="43">
        <f t="shared" si="35"/>
        <v>0.42496922153894534</v>
      </c>
      <c r="Z10" s="43">
        <f t="shared" si="36"/>
        <v>2.0880054909481149</v>
      </c>
      <c r="AA10" s="43">
        <f t="shared" si="37"/>
        <v>0.6414382957423399</v>
      </c>
    </row>
    <row r="11" spans="1:27" ht="15.75" customHeight="1" thickBot="1">
      <c r="A11" s="85" t="s">
        <v>49</v>
      </c>
      <c r="B11" s="87">
        <f>VIOLA_IOWA_pp!H11</f>
        <v>14.221466992242391</v>
      </c>
      <c r="C11" s="24">
        <f>VIOLA__ORCH_pp!F11</f>
        <v>13.120151474939989</v>
      </c>
      <c r="D11" s="29">
        <f t="shared" si="19"/>
        <v>13.670809233591189</v>
      </c>
      <c r="E11" s="28">
        <f>VIOLA__IOWA_mf!H11</f>
        <v>13.324422069759001</v>
      </c>
      <c r="F11" s="24">
        <f>VIOLA__ORCH_mf!F11</f>
        <v>16.5818952916566</v>
      </c>
      <c r="G11" s="29">
        <f t="shared" si="20"/>
        <v>14.953158680707801</v>
      </c>
      <c r="H11" s="33">
        <f>VIOLA_IOWA_ff!H11</f>
        <v>13.94932375176454</v>
      </c>
      <c r="I11" s="34">
        <f>VIOLA__ORCH_ff!F11</f>
        <v>12.924435739226411</v>
      </c>
      <c r="J11" s="35">
        <f t="shared" si="21"/>
        <v>13.436879745495474</v>
      </c>
      <c r="K11" s="20"/>
      <c r="L11" s="46" t="str">
        <f t="shared" si="22"/>
        <v>A5</v>
      </c>
      <c r="M11" s="47">
        <f t="shared" si="23"/>
        <v>13.670809233591189</v>
      </c>
      <c r="N11" s="47">
        <f t="shared" si="24"/>
        <v>14.953158680707801</v>
      </c>
      <c r="O11" s="47">
        <f t="shared" si="25"/>
        <v>13.436879745495474</v>
      </c>
      <c r="P11" s="45">
        <f t="shared" si="26"/>
        <v>-0.89704492248339029</v>
      </c>
      <c r="Q11" s="43">
        <f t="shared" si="27"/>
        <v>0.62490168200553953</v>
      </c>
      <c r="R11" s="43">
        <f t="shared" si="28"/>
        <v>-0.27214324047785077</v>
      </c>
      <c r="S11" s="43">
        <f t="shared" si="29"/>
        <v>3.461743816716611</v>
      </c>
      <c r="T11" s="43">
        <f t="shared" si="30"/>
        <v>-3.6574595524301898</v>
      </c>
      <c r="U11" s="43">
        <f t="shared" si="31"/>
        <v>-0.19571573571357881</v>
      </c>
      <c r="V11" s="44">
        <f t="shared" si="32"/>
        <v>1.2823494471166121</v>
      </c>
      <c r="W11" s="44">
        <f t="shared" si="33"/>
        <v>-1.5162789352123269</v>
      </c>
      <c r="X11" s="44">
        <f t="shared" si="34"/>
        <v>-0.23392948809571479</v>
      </c>
      <c r="Y11" s="43">
        <f t="shared" si="35"/>
        <v>0.5506577586512007</v>
      </c>
      <c r="Z11" s="43">
        <f t="shared" si="36"/>
        <v>1.6287366109488</v>
      </c>
      <c r="AA11" s="43">
        <f t="shared" si="37"/>
        <v>0.51244400626906472</v>
      </c>
    </row>
    <row r="12" spans="1:27" ht="15.75" customHeight="1" thickBot="1">
      <c r="A12" s="85" t="s">
        <v>50</v>
      </c>
      <c r="B12" s="87">
        <f>VIOLA_IOWA_pp!H12</f>
        <v>14.485140757541229</v>
      </c>
      <c r="C12" s="24">
        <f>VIOLA__ORCH_pp!F12</f>
        <v>16.74102501036317</v>
      </c>
      <c r="D12" s="29">
        <f t="shared" si="19"/>
        <v>15.613082883952199</v>
      </c>
      <c r="E12" s="28">
        <f>VIOLA__IOWA_mf!H12</f>
        <v>14.065055009973371</v>
      </c>
      <c r="F12" s="24">
        <f>VIOLA__ORCH_mf!F12</f>
        <v>16.75665035379814</v>
      </c>
      <c r="G12" s="29">
        <f t="shared" si="20"/>
        <v>15.410852681885755</v>
      </c>
      <c r="H12" s="33">
        <f>VIOLA_IOWA_ff!H12</f>
        <v>15.17808113277666</v>
      </c>
      <c r="I12" s="34">
        <f>VIOLA__ORCH_ff!F12</f>
        <v>15.506956617536821</v>
      </c>
      <c r="J12" s="35">
        <f t="shared" si="21"/>
        <v>15.34251887515674</v>
      </c>
      <c r="K12" s="20"/>
      <c r="L12" s="46" t="str">
        <f t="shared" si="22"/>
        <v>Bb5</v>
      </c>
      <c r="M12" s="47">
        <f t="shared" si="23"/>
        <v>15.613082883952199</v>
      </c>
      <c r="N12" s="47">
        <f t="shared" si="24"/>
        <v>15.410852681885755</v>
      </c>
      <c r="O12" s="47">
        <f t="shared" si="25"/>
        <v>15.34251887515674</v>
      </c>
      <c r="P12" s="45">
        <f t="shared" si="26"/>
        <v>-0.42008574756785855</v>
      </c>
      <c r="Q12" s="43">
        <f t="shared" si="27"/>
        <v>1.1130261228032889</v>
      </c>
      <c r="R12" s="43">
        <f t="shared" si="28"/>
        <v>0.69294037523543039</v>
      </c>
      <c r="S12" s="43">
        <f t="shared" si="29"/>
        <v>1.5625343434969352E-2</v>
      </c>
      <c r="T12" s="43">
        <f t="shared" si="30"/>
        <v>-1.2496937362613192</v>
      </c>
      <c r="U12" s="43">
        <f t="shared" si="31"/>
        <v>-1.2340683928263498</v>
      </c>
      <c r="V12" s="44">
        <f t="shared" si="32"/>
        <v>-0.20223020206644371</v>
      </c>
      <c r="W12" s="44">
        <f t="shared" si="33"/>
        <v>-6.8333806729015123E-2</v>
      </c>
      <c r="X12" s="44">
        <f t="shared" si="34"/>
        <v>-0.27056400879545883</v>
      </c>
      <c r="Y12" s="43">
        <f t="shared" si="35"/>
        <v>1.1279421264109706</v>
      </c>
      <c r="Z12" s="43">
        <f t="shared" si="36"/>
        <v>1.3457976719123845</v>
      </c>
      <c r="AA12" s="43">
        <f t="shared" si="37"/>
        <v>0.16443774238008046</v>
      </c>
    </row>
    <row r="13" spans="1:27" ht="15.75" customHeight="1" thickBot="1">
      <c r="A13" s="85" t="s">
        <v>51</v>
      </c>
      <c r="B13" s="87">
        <f>VIOLA_IOWA_pp!H13</f>
        <v>15.46551834188435</v>
      </c>
      <c r="C13" s="24">
        <f>VIOLA__ORCH_pp!F13</f>
        <v>16.04335425304204</v>
      </c>
      <c r="D13" s="29">
        <f t="shared" si="19"/>
        <v>15.754436297463194</v>
      </c>
      <c r="E13" s="28">
        <f>VIOLA__IOWA_mf!H13</f>
        <v>14.25266923691721</v>
      </c>
      <c r="F13" s="24">
        <f>VIOLA__ORCH_mf!F13</f>
        <v>14.61513341495508</v>
      </c>
      <c r="G13" s="29">
        <f t="shared" si="20"/>
        <v>14.433901325936144</v>
      </c>
      <c r="H13" s="33">
        <f>VIOLA_IOWA_ff!H13</f>
        <v>14.130975616705371</v>
      </c>
      <c r="I13" s="34">
        <f>VIOLA__ORCH_ff!F13</f>
        <v>15.638457745326811</v>
      </c>
      <c r="J13" s="35">
        <f t="shared" si="21"/>
        <v>14.884716681016091</v>
      </c>
      <c r="K13" s="20"/>
      <c r="L13" s="46" t="str">
        <f t="shared" si="22"/>
        <v>B5</v>
      </c>
      <c r="M13" s="47">
        <f t="shared" si="23"/>
        <v>15.754436297463194</v>
      </c>
      <c r="N13" s="47">
        <f t="shared" si="24"/>
        <v>14.433901325936144</v>
      </c>
      <c r="O13" s="47">
        <f t="shared" si="25"/>
        <v>14.884716681016091</v>
      </c>
      <c r="P13" s="45">
        <f t="shared" si="26"/>
        <v>-1.2128491049671393</v>
      </c>
      <c r="Q13" s="43">
        <f t="shared" si="27"/>
        <v>-0.12169362021183971</v>
      </c>
      <c r="R13" s="43">
        <f t="shared" si="28"/>
        <v>-1.334542725178979</v>
      </c>
      <c r="S13" s="43">
        <f t="shared" si="29"/>
        <v>-1.4282208380869594</v>
      </c>
      <c r="T13" s="43">
        <f t="shared" si="30"/>
        <v>1.0233243303717305</v>
      </c>
      <c r="U13" s="43">
        <f t="shared" si="31"/>
        <v>-0.40489650771522889</v>
      </c>
      <c r="V13" s="44">
        <f t="shared" si="32"/>
        <v>-1.3205349715270494</v>
      </c>
      <c r="W13" s="44">
        <f t="shared" si="33"/>
        <v>0.4508153550799463</v>
      </c>
      <c r="X13" s="44">
        <f t="shared" si="34"/>
        <v>-0.86971961644710305</v>
      </c>
      <c r="Y13" s="43">
        <f t="shared" si="35"/>
        <v>0.28891795557884503</v>
      </c>
      <c r="Z13" s="43">
        <f t="shared" si="36"/>
        <v>0.18123208901893495</v>
      </c>
      <c r="AA13" s="43">
        <f t="shared" si="37"/>
        <v>0.75374106431072008</v>
      </c>
    </row>
    <row r="14" spans="1:27" ht="15.75" customHeight="1" thickBot="1">
      <c r="A14" s="85" t="s">
        <v>52</v>
      </c>
      <c r="B14" s="87">
        <f>VIOLA_IOWA_pp!H14</f>
        <v>14.30620220363423</v>
      </c>
      <c r="C14" s="24">
        <f>VIOLA__ORCH_pp!F14</f>
        <v>14.738392924937189</v>
      </c>
      <c r="D14" s="29">
        <f t="shared" si="19"/>
        <v>14.52229756428571</v>
      </c>
      <c r="E14" s="28">
        <f>VIOLA__IOWA_mf!H14</f>
        <v>14.33164555027605</v>
      </c>
      <c r="F14" s="24">
        <f>VIOLA__ORCH_mf!F14</f>
        <v>15.943362469188569</v>
      </c>
      <c r="G14" s="29">
        <f t="shared" si="20"/>
        <v>15.137504009732311</v>
      </c>
      <c r="H14" s="33">
        <f>VIOLA_IOWA_ff!H14</f>
        <v>13.308912577564911</v>
      </c>
      <c r="I14" s="34">
        <f>VIOLA__ORCH_ff!F14</f>
        <v>16.395767422090461</v>
      </c>
      <c r="J14" s="35">
        <f t="shared" si="21"/>
        <v>14.852339999827686</v>
      </c>
      <c r="K14" s="20"/>
      <c r="L14" s="46" t="str">
        <f t="shared" si="22"/>
        <v>C6</v>
      </c>
      <c r="M14" s="47">
        <f t="shared" si="23"/>
        <v>14.52229756428571</v>
      </c>
      <c r="N14" s="47">
        <f t="shared" si="24"/>
        <v>15.137504009732311</v>
      </c>
      <c r="O14" s="47">
        <f t="shared" si="25"/>
        <v>14.852339999827686</v>
      </c>
      <c r="P14" s="45">
        <f t="shared" si="26"/>
        <v>2.5443346641820241E-2</v>
      </c>
      <c r="Q14" s="43">
        <f t="shared" si="27"/>
        <v>-1.0227329727111396</v>
      </c>
      <c r="R14" s="43">
        <f t="shared" si="28"/>
        <v>-0.99728962606931937</v>
      </c>
      <c r="S14" s="43">
        <f t="shared" si="29"/>
        <v>1.2049695442513801</v>
      </c>
      <c r="T14" s="43">
        <f t="shared" si="30"/>
        <v>0.45240495290189209</v>
      </c>
      <c r="U14" s="43">
        <f t="shared" si="31"/>
        <v>1.6573744971532722</v>
      </c>
      <c r="V14" s="44">
        <f t="shared" si="32"/>
        <v>0.61520644544660108</v>
      </c>
      <c r="W14" s="44">
        <f t="shared" si="33"/>
        <v>-0.28516400990462465</v>
      </c>
      <c r="X14" s="44">
        <f t="shared" si="34"/>
        <v>0.33004243554197643</v>
      </c>
      <c r="Y14" s="43">
        <f t="shared" si="35"/>
        <v>0.2160953606514795</v>
      </c>
      <c r="Z14" s="43">
        <f t="shared" si="36"/>
        <v>0.80585845945625945</v>
      </c>
      <c r="AA14" s="43">
        <f t="shared" si="37"/>
        <v>1.5434274222627753</v>
      </c>
    </row>
    <row r="15" spans="1:27" ht="15.75" customHeight="1" thickBot="1">
      <c r="A15" s="85" t="s">
        <v>53</v>
      </c>
      <c r="B15" s="87">
        <f>VIOLA_IOWA_pp!H15</f>
        <v>14.07993894494482</v>
      </c>
      <c r="C15" s="24">
        <f>VIOLA__ORCH_pp!F15</f>
        <v>12.71325711597574</v>
      </c>
      <c r="D15" s="29">
        <f t="shared" si="19"/>
        <v>13.396598030460279</v>
      </c>
      <c r="E15" s="28">
        <f>VIOLA__IOWA_mf!H15</f>
        <v>13.34601891323239</v>
      </c>
      <c r="F15" s="24">
        <f>VIOLA__ORCH_mf!F15</f>
        <v>15.06528698665246</v>
      </c>
      <c r="G15" s="29">
        <f t="shared" si="20"/>
        <v>14.205652949942426</v>
      </c>
      <c r="H15" s="33">
        <f>VIOLA_IOWA_ff!H15</f>
        <v>11.47237342923837</v>
      </c>
      <c r="I15" s="34">
        <f>VIOLA__ORCH_ff!F15</f>
        <v>13.749790523154941</v>
      </c>
      <c r="J15" s="35">
        <f t="shared" si="21"/>
        <v>12.611081976196655</v>
      </c>
      <c r="K15" s="20"/>
      <c r="L15" s="46" t="str">
        <f t="shared" si="22"/>
        <v>Db6</v>
      </c>
      <c r="M15" s="47">
        <f t="shared" si="23"/>
        <v>13.396598030460279</v>
      </c>
      <c r="N15" s="47">
        <f t="shared" si="24"/>
        <v>14.205652949942426</v>
      </c>
      <c r="O15" s="47">
        <f t="shared" si="25"/>
        <v>12.611081976196655</v>
      </c>
      <c r="P15" s="45">
        <f t="shared" si="26"/>
        <v>-0.73392003171242948</v>
      </c>
      <c r="Q15" s="43">
        <f t="shared" si="27"/>
        <v>-1.8736454839940198</v>
      </c>
      <c r="R15" s="43">
        <f t="shared" si="28"/>
        <v>-2.6075655157064492</v>
      </c>
      <c r="S15" s="43">
        <f t="shared" si="29"/>
        <v>2.35202987067672</v>
      </c>
      <c r="T15" s="43">
        <f t="shared" si="30"/>
        <v>-1.315496463497519</v>
      </c>
      <c r="U15" s="43">
        <f t="shared" si="31"/>
        <v>1.0365334071792009</v>
      </c>
      <c r="V15" s="44">
        <f t="shared" si="32"/>
        <v>0.80905491948214703</v>
      </c>
      <c r="W15" s="44">
        <f t="shared" si="33"/>
        <v>-1.5945709737457712</v>
      </c>
      <c r="X15" s="44">
        <f t="shared" si="34"/>
        <v>-0.78551605426362414</v>
      </c>
      <c r="Y15" s="43">
        <f t="shared" si="35"/>
        <v>0.68334091448453993</v>
      </c>
      <c r="Z15" s="43">
        <f t="shared" si="36"/>
        <v>0.8596340367100348</v>
      </c>
      <c r="AA15" s="43">
        <f t="shared" si="37"/>
        <v>1.1387085469582852</v>
      </c>
    </row>
    <row r="16" spans="1:27" ht="15.75" customHeight="1" thickBot="1">
      <c r="A16" s="85" t="s">
        <v>54</v>
      </c>
      <c r="B16" s="87">
        <f>VIOLA_IOWA_pp!H16</f>
        <v>14.28394214336506</v>
      </c>
      <c r="C16" s="24">
        <f>VIOLA__ORCH_pp!F16</f>
        <v>13.870168695313451</v>
      </c>
      <c r="D16" s="29">
        <f t="shared" si="19"/>
        <v>14.077055419339256</v>
      </c>
      <c r="E16" s="28">
        <f>VIOLA__IOWA_mf!H16</f>
        <v>12.251667797507089</v>
      </c>
      <c r="F16" s="24">
        <f>VIOLA__ORCH_mf!F16</f>
        <v>13.707501137130031</v>
      </c>
      <c r="G16" s="29">
        <f t="shared" si="20"/>
        <v>12.97958446731856</v>
      </c>
      <c r="H16" s="33">
        <f>VIOLA_IOWA_ff!H16</f>
        <v>12.934513759726769</v>
      </c>
      <c r="I16" s="34">
        <f>VIOLA__ORCH_ff!F16</f>
        <v>13.564736055626421</v>
      </c>
      <c r="J16" s="35">
        <f t="shared" si="21"/>
        <v>13.249624907676594</v>
      </c>
      <c r="K16" s="20"/>
      <c r="L16" s="46" t="str">
        <f t="shared" si="22"/>
        <v>D6</v>
      </c>
      <c r="M16" s="47">
        <f t="shared" si="23"/>
        <v>14.077055419339256</v>
      </c>
      <c r="N16" s="47">
        <f t="shared" si="24"/>
        <v>12.97958446731856</v>
      </c>
      <c r="O16" s="47">
        <f t="shared" si="25"/>
        <v>13.249624907676594</v>
      </c>
      <c r="P16" s="45">
        <f t="shared" si="26"/>
        <v>-2.0322743458579708</v>
      </c>
      <c r="Q16" s="43">
        <f t="shared" si="27"/>
        <v>0.6828459622196803</v>
      </c>
      <c r="R16" s="43">
        <f t="shared" si="28"/>
        <v>-1.3494283836382905</v>
      </c>
      <c r="S16" s="43">
        <f t="shared" si="29"/>
        <v>-0.16266755818342027</v>
      </c>
      <c r="T16" s="43">
        <f t="shared" si="30"/>
        <v>-0.14276508150360989</v>
      </c>
      <c r="U16" s="43">
        <f t="shared" si="31"/>
        <v>-0.30543263968703016</v>
      </c>
      <c r="V16" s="44">
        <f t="shared" si="32"/>
        <v>-1.0974709520206964</v>
      </c>
      <c r="W16" s="44">
        <f t="shared" si="33"/>
        <v>0.27004044035803432</v>
      </c>
      <c r="X16" s="44">
        <f t="shared" si="34"/>
        <v>-0.82743051166266213</v>
      </c>
      <c r="Y16" s="43">
        <f t="shared" si="35"/>
        <v>0.20688672402580455</v>
      </c>
      <c r="Z16" s="43">
        <f t="shared" si="36"/>
        <v>0.72791666981147074</v>
      </c>
      <c r="AA16" s="43">
        <f t="shared" si="37"/>
        <v>0.31511114794982564</v>
      </c>
    </row>
    <row r="17" spans="1:27" ht="15.75" customHeight="1" thickBot="1">
      <c r="A17" s="85" t="s">
        <v>55</v>
      </c>
      <c r="B17" s="87">
        <f>VIOLA_IOWA_pp!H17</f>
        <v>11.651987691910641</v>
      </c>
      <c r="C17" s="24">
        <f>VIOLA__ORCH_pp!F17</f>
        <v>15.09832195071801</v>
      </c>
      <c r="D17" s="29">
        <f t="shared" si="19"/>
        <v>13.375154821314325</v>
      </c>
      <c r="E17" s="28">
        <f>VIOLA__IOWA_mf!H17</f>
        <v>12.164342629398289</v>
      </c>
      <c r="F17" s="24">
        <f>VIOLA__ORCH_mf!F17</f>
        <v>15.06900974317559</v>
      </c>
      <c r="G17" s="29">
        <f t="shared" si="20"/>
        <v>13.61667618628694</v>
      </c>
      <c r="H17" s="33">
        <f>VIOLA_IOWA_ff!H17</f>
        <v>14.36801219488558</v>
      </c>
      <c r="I17" s="34">
        <f>VIOLA__ORCH_ff!F17</f>
        <v>12.64585740317532</v>
      </c>
      <c r="J17" s="35">
        <f t="shared" si="21"/>
        <v>13.50693479903045</v>
      </c>
      <c r="K17" s="20"/>
      <c r="L17" s="46" t="str">
        <f t="shared" si="22"/>
        <v>Eb6</v>
      </c>
      <c r="M17" s="47">
        <f t="shared" si="23"/>
        <v>13.375154821314325</v>
      </c>
      <c r="N17" s="47">
        <f t="shared" si="24"/>
        <v>13.61667618628694</v>
      </c>
      <c r="O17" s="47">
        <f t="shared" si="25"/>
        <v>13.50693479903045</v>
      </c>
      <c r="P17" s="45">
        <f t="shared" si="26"/>
        <v>0.5123549374876486</v>
      </c>
      <c r="Q17" s="43">
        <f t="shared" si="27"/>
        <v>2.2036695654872904</v>
      </c>
      <c r="R17" s="43">
        <f t="shared" si="28"/>
        <v>2.716024502974939</v>
      </c>
      <c r="S17" s="43">
        <f t="shared" si="29"/>
        <v>-2.9312207542419699E-2</v>
      </c>
      <c r="T17" s="43">
        <f t="shared" si="30"/>
        <v>-2.4231523400002697</v>
      </c>
      <c r="U17" s="43">
        <f t="shared" si="31"/>
        <v>-2.4524645475426894</v>
      </c>
      <c r="V17" s="44">
        <f t="shared" si="32"/>
        <v>0.24152136497261445</v>
      </c>
      <c r="W17" s="44">
        <f t="shared" si="33"/>
        <v>-0.10974138725648963</v>
      </c>
      <c r="X17" s="44">
        <f t="shared" si="34"/>
        <v>0.13177997771612482</v>
      </c>
      <c r="Y17" s="43">
        <f t="shared" si="35"/>
        <v>1.7231671294036843</v>
      </c>
      <c r="Z17" s="43">
        <f t="shared" si="36"/>
        <v>1.4523335568886502</v>
      </c>
      <c r="AA17" s="43">
        <f t="shared" si="37"/>
        <v>0.86107739585512988</v>
      </c>
    </row>
    <row r="18" spans="1:27" ht="15.75" customHeight="1" thickBot="1">
      <c r="A18" s="85" t="s">
        <v>56</v>
      </c>
      <c r="B18" s="87">
        <f>VIOLA_IOWA_pp!H18</f>
        <v>11.88660038468584</v>
      </c>
      <c r="C18" s="24">
        <f>VIOLA__ORCH_pp!F18</f>
        <v>14.521661346279741</v>
      </c>
      <c r="D18" s="29">
        <f t="shared" si="19"/>
        <v>13.20413086548279</v>
      </c>
      <c r="E18" s="28">
        <f>VIOLA__IOWA_mf!H18</f>
        <v>11.78487608718649</v>
      </c>
      <c r="F18" s="24">
        <f>VIOLA__ORCH_mf!F18</f>
        <v>15.410340167082859</v>
      </c>
      <c r="G18" s="29">
        <f t="shared" si="20"/>
        <v>13.597608127134674</v>
      </c>
      <c r="H18" s="33">
        <f>VIOLA_IOWA_ff!H18</f>
        <v>15.64765853618095</v>
      </c>
      <c r="I18" s="34">
        <f>VIOLA__ORCH_ff!F18</f>
        <v>13.64276698324344</v>
      </c>
      <c r="J18" s="35">
        <f t="shared" si="21"/>
        <v>14.645212759712194</v>
      </c>
      <c r="K18" s="20"/>
      <c r="L18" s="46" t="str">
        <f t="shared" si="22"/>
        <v>E6</v>
      </c>
      <c r="M18" s="47">
        <f t="shared" si="23"/>
        <v>13.20413086548279</v>
      </c>
      <c r="N18" s="47">
        <f t="shared" si="24"/>
        <v>13.597608127134674</v>
      </c>
      <c r="O18" s="47">
        <f t="shared" si="25"/>
        <v>14.645212759712194</v>
      </c>
      <c r="P18" s="45">
        <f t="shared" si="26"/>
        <v>-0.10172429749935041</v>
      </c>
      <c r="Q18" s="43">
        <f t="shared" si="27"/>
        <v>3.8627824489944604</v>
      </c>
      <c r="R18" s="43">
        <f t="shared" si="28"/>
        <v>3.76105815149511</v>
      </c>
      <c r="S18" s="43">
        <f t="shared" si="29"/>
        <v>0.88867882080311844</v>
      </c>
      <c r="T18" s="43">
        <f t="shared" si="30"/>
        <v>-1.7675731838394189</v>
      </c>
      <c r="U18" s="43">
        <f t="shared" si="31"/>
        <v>-0.87889436303630042</v>
      </c>
      <c r="V18" s="44">
        <f t="shared" si="32"/>
        <v>0.39347726165188313</v>
      </c>
      <c r="W18" s="44">
        <f t="shared" si="33"/>
        <v>1.0476046325775208</v>
      </c>
      <c r="X18" s="44">
        <f t="shared" si="34"/>
        <v>1.4410818942294039</v>
      </c>
      <c r="Y18" s="43">
        <f t="shared" si="35"/>
        <v>1.3175304807969503</v>
      </c>
      <c r="Z18" s="43">
        <f t="shared" si="36"/>
        <v>1.8127320399481848</v>
      </c>
      <c r="AA18" s="43">
        <f t="shared" si="37"/>
        <v>1.0024457764687549</v>
      </c>
    </row>
    <row r="19" spans="1:27" ht="15.75" customHeight="1" thickBot="1">
      <c r="A19" s="85" t="s">
        <v>57</v>
      </c>
      <c r="B19" s="87">
        <f>VIOLA_IOWA_pp!H19</f>
        <v>9.1579532988958672</v>
      </c>
      <c r="C19" s="24">
        <f>VIOLA__ORCH_pp!F19</f>
        <v>10.59889291606893</v>
      </c>
      <c r="D19" s="29">
        <f t="shared" si="19"/>
        <v>9.8784231074823978</v>
      </c>
      <c r="E19" s="28">
        <f>VIOLA__IOWA_mf!H19</f>
        <v>9.2695663853529844</v>
      </c>
      <c r="F19" s="24">
        <f>VIOLA__ORCH_mf!F19</f>
        <v>9.375348948351089</v>
      </c>
      <c r="G19" s="29">
        <f t="shared" si="20"/>
        <v>9.3224576668520367</v>
      </c>
      <c r="H19" s="33">
        <f>VIOLA_IOWA_ff!H19</f>
        <v>10.205784921689</v>
      </c>
      <c r="I19" s="34">
        <f>VIOLA__ORCH_ff!F19</f>
        <v>10.62892761770617</v>
      </c>
      <c r="J19" s="35">
        <f t="shared" si="21"/>
        <v>10.417356269697585</v>
      </c>
      <c r="K19" s="20"/>
      <c r="L19" s="46" t="str">
        <f t="shared" si="22"/>
        <v>F6</v>
      </c>
      <c r="M19" s="47">
        <f t="shared" si="23"/>
        <v>9.8784231074823978</v>
      </c>
      <c r="N19" s="47">
        <f t="shared" si="24"/>
        <v>9.3224576668520367</v>
      </c>
      <c r="O19" s="47">
        <f t="shared" si="25"/>
        <v>10.417356269697585</v>
      </c>
      <c r="P19" s="45">
        <f t="shared" si="26"/>
        <v>0.11161308645711721</v>
      </c>
      <c r="Q19" s="43">
        <f t="shared" si="27"/>
        <v>0.93621853633601582</v>
      </c>
      <c r="R19" s="43">
        <f t="shared" si="28"/>
        <v>1.047831622793133</v>
      </c>
      <c r="S19" s="43">
        <f t="shared" si="29"/>
        <v>-1.2235439677178412</v>
      </c>
      <c r="T19" s="43">
        <f t="shared" si="30"/>
        <v>1.2535786693550808</v>
      </c>
      <c r="U19" s="43">
        <f t="shared" si="31"/>
        <v>3.0034701637239536E-2</v>
      </c>
      <c r="V19" s="44">
        <f t="shared" si="32"/>
        <v>-0.55596544063036113</v>
      </c>
      <c r="W19" s="44">
        <f t="shared" si="33"/>
        <v>1.0948986028455483</v>
      </c>
      <c r="X19" s="44">
        <f t="shared" si="34"/>
        <v>0.53893316221518717</v>
      </c>
      <c r="Y19" s="43">
        <f t="shared" si="35"/>
        <v>0.72046980858653153</v>
      </c>
      <c r="Z19" s="43">
        <f t="shared" si="36"/>
        <v>5.2891281499052312E-2</v>
      </c>
      <c r="AA19" s="43">
        <f t="shared" si="37"/>
        <v>0.21157134800858479</v>
      </c>
    </row>
    <row r="20" spans="1:27" ht="15.75" customHeight="1" thickBot="1">
      <c r="A20" s="85" t="s">
        <v>58</v>
      </c>
      <c r="B20" s="87">
        <f>VIOLA_IOWA_pp!H20</f>
        <v>9.1493095751302125</v>
      </c>
      <c r="C20" s="24">
        <f>VIOLA__ORCH_pp!F20</f>
        <v>11.85248848013107</v>
      </c>
      <c r="D20" s="29">
        <f t="shared" si="19"/>
        <v>10.500899027630641</v>
      </c>
      <c r="E20" s="28">
        <f>VIOLA__IOWA_mf!H20</f>
        <v>8.7246598523177923</v>
      </c>
      <c r="F20" s="24">
        <f>VIOLA__ORCH_mf!F20</f>
        <v>10.246673249634441</v>
      </c>
      <c r="G20" s="29">
        <f t="shared" si="20"/>
        <v>9.4856665509761164</v>
      </c>
      <c r="H20" s="33">
        <f>VIOLA_IOWA_ff!H20</f>
        <v>11.19017753901146</v>
      </c>
      <c r="I20" s="34">
        <f>VIOLA__ORCH_ff!F20</f>
        <v>12.453282180020119</v>
      </c>
      <c r="J20" s="35">
        <f t="shared" si="21"/>
        <v>11.82172985951579</v>
      </c>
      <c r="K20" s="20"/>
      <c r="L20" s="46" t="str">
        <f t="shared" si="22"/>
        <v>Gb6</v>
      </c>
      <c r="M20" s="47">
        <f t="shared" si="23"/>
        <v>10.500899027630641</v>
      </c>
      <c r="N20" s="47">
        <f t="shared" si="24"/>
        <v>9.4856665509761164</v>
      </c>
      <c r="O20" s="47">
        <f t="shared" si="25"/>
        <v>11.82172985951579</v>
      </c>
      <c r="P20" s="45">
        <f t="shared" si="26"/>
        <v>-0.42464972281242019</v>
      </c>
      <c r="Q20" s="43">
        <f t="shared" si="27"/>
        <v>2.4655176866936674</v>
      </c>
      <c r="R20" s="43">
        <f t="shared" si="28"/>
        <v>2.0408679638812472</v>
      </c>
      <c r="S20" s="43">
        <f t="shared" si="29"/>
        <v>-1.6058152304966296</v>
      </c>
      <c r="T20" s="43">
        <f t="shared" si="30"/>
        <v>2.2066089303856788</v>
      </c>
      <c r="U20" s="43">
        <f t="shared" si="31"/>
        <v>0.60079369988904929</v>
      </c>
      <c r="V20" s="44">
        <f t="shared" si="32"/>
        <v>-1.0152324766545249</v>
      </c>
      <c r="W20" s="44">
        <f t="shared" si="33"/>
        <v>2.3360633085396731</v>
      </c>
      <c r="X20" s="44">
        <f t="shared" si="34"/>
        <v>1.3208308318851483</v>
      </c>
      <c r="Y20" s="43">
        <f t="shared" si="35"/>
        <v>1.3515894525004288</v>
      </c>
      <c r="Z20" s="43">
        <f t="shared" si="36"/>
        <v>0.76100669865832415</v>
      </c>
      <c r="AA20" s="43">
        <f t="shared" si="37"/>
        <v>0.63155232050432986</v>
      </c>
    </row>
    <row r="21" spans="1:27" ht="15.75" customHeight="1" thickBot="1">
      <c r="A21" s="85" t="s">
        <v>59</v>
      </c>
      <c r="B21" s="87">
        <f>VIOLA_IOWA_pp!H21</f>
        <v>9.5562564593110864</v>
      </c>
      <c r="C21" s="24">
        <f>VIOLA__ORCH_pp!F21</f>
        <v>10.361067381368949</v>
      </c>
      <c r="D21" s="29">
        <f t="shared" si="19"/>
        <v>9.9586619203400168</v>
      </c>
      <c r="E21" s="28">
        <f>VIOLA__IOWA_mf!H21</f>
        <v>8.6263499721471959</v>
      </c>
      <c r="F21" s="24">
        <f>VIOLA__ORCH_mf!F21</f>
        <v>9.4618715977962875</v>
      </c>
      <c r="G21" s="29">
        <f t="shared" si="20"/>
        <v>9.0441107849717426</v>
      </c>
      <c r="H21" s="33">
        <f>VIOLA_IOWA_ff!H21</f>
        <v>10.296213709077881</v>
      </c>
      <c r="I21" s="34">
        <f>VIOLA__ORCH_ff!F21</f>
        <v>11.0675036037123</v>
      </c>
      <c r="J21" s="35">
        <f t="shared" si="21"/>
        <v>10.681858656395089</v>
      </c>
      <c r="K21" s="20"/>
      <c r="L21" s="46" t="str">
        <f t="shared" si="22"/>
        <v>G6</v>
      </c>
      <c r="M21" s="47">
        <f t="shared" si="23"/>
        <v>9.9586619203400168</v>
      </c>
      <c r="N21" s="47">
        <f t="shared" si="24"/>
        <v>9.0441107849717426</v>
      </c>
      <c r="O21" s="47">
        <f t="shared" si="25"/>
        <v>10.681858656395089</v>
      </c>
      <c r="P21" s="45">
        <f t="shared" si="26"/>
        <v>-0.92990648716389046</v>
      </c>
      <c r="Q21" s="43">
        <f t="shared" si="27"/>
        <v>1.6698637369306848</v>
      </c>
      <c r="R21" s="43">
        <f t="shared" si="28"/>
        <v>0.73995724976679433</v>
      </c>
      <c r="S21" s="43">
        <f t="shared" si="29"/>
        <v>-0.89919578357266161</v>
      </c>
      <c r="T21" s="43">
        <f t="shared" si="30"/>
        <v>1.6056320059160125</v>
      </c>
      <c r="U21" s="43">
        <f t="shared" si="31"/>
        <v>0.70643622234335091</v>
      </c>
      <c r="V21" s="44">
        <f t="shared" si="32"/>
        <v>-0.91455113536827426</v>
      </c>
      <c r="W21" s="44">
        <f t="shared" si="33"/>
        <v>1.6377478714233469</v>
      </c>
      <c r="X21" s="44">
        <f t="shared" si="34"/>
        <v>0.72319673605507262</v>
      </c>
      <c r="Y21" s="43">
        <f t="shared" si="35"/>
        <v>0.40240546102893138</v>
      </c>
      <c r="Z21" s="43">
        <f t="shared" si="36"/>
        <v>0.4177608128245458</v>
      </c>
      <c r="AA21" s="43">
        <f t="shared" si="37"/>
        <v>0.38564494731720966</v>
      </c>
    </row>
    <row r="22" spans="1:27" ht="15.75" customHeight="1" thickBot="1">
      <c r="A22" s="85" t="s">
        <v>60</v>
      </c>
      <c r="B22" s="87">
        <f>VIOLA_IOWA_pp!H22</f>
        <v>9.3415390502220284</v>
      </c>
      <c r="C22" s="24">
        <f>VIOLA__ORCH_pp!F22</f>
        <v>8.6660712983920298</v>
      </c>
      <c r="D22" s="29">
        <f t="shared" si="19"/>
        <v>9.0038051743070291</v>
      </c>
      <c r="E22" s="28">
        <f>VIOLA__IOWA_mf!H22</f>
        <v>7.8335905919259137</v>
      </c>
      <c r="F22" s="24">
        <f>VIOLA__ORCH_mf!F22</f>
        <v>9.7011942033356373</v>
      </c>
      <c r="G22" s="29">
        <f t="shared" si="20"/>
        <v>8.7673923976307755</v>
      </c>
      <c r="H22" s="33">
        <f>VIOLA_IOWA_ff!H22</f>
        <v>10.22360048336494</v>
      </c>
      <c r="I22" s="34">
        <f>VIOLA__ORCH_ff!F22</f>
        <v>8.568519787091244</v>
      </c>
      <c r="J22" s="35">
        <f t="shared" si="21"/>
        <v>9.3960601352280921</v>
      </c>
      <c r="K22" s="20"/>
      <c r="L22" s="46" t="str">
        <f t="shared" si="22"/>
        <v>Ab6</v>
      </c>
      <c r="M22" s="47">
        <f t="shared" si="23"/>
        <v>9.0038051743070291</v>
      </c>
      <c r="N22" s="47">
        <f t="shared" si="24"/>
        <v>8.7673923976307755</v>
      </c>
      <c r="O22" s="47">
        <f t="shared" si="25"/>
        <v>9.3960601352280921</v>
      </c>
      <c r="P22" s="45">
        <f t="shared" si="26"/>
        <v>-1.5079484582961147</v>
      </c>
      <c r="Q22" s="43">
        <f t="shared" si="27"/>
        <v>2.3900098914390266</v>
      </c>
      <c r="R22" s="43">
        <f t="shared" si="28"/>
        <v>0.88206143314291197</v>
      </c>
      <c r="S22" s="43">
        <f t="shared" si="29"/>
        <v>1.0351229049436075</v>
      </c>
      <c r="T22" s="43">
        <f t="shared" si="30"/>
        <v>-1.1326744162443934</v>
      </c>
      <c r="U22" s="43">
        <f t="shared" si="31"/>
        <v>-9.7551511300785876E-2</v>
      </c>
      <c r="V22" s="44">
        <f t="shared" si="32"/>
        <v>-0.2364127766762536</v>
      </c>
      <c r="W22" s="44">
        <f t="shared" si="33"/>
        <v>0.62866773759731664</v>
      </c>
      <c r="X22" s="44">
        <f t="shared" si="34"/>
        <v>0.39225496092106305</v>
      </c>
      <c r="Y22" s="43">
        <f t="shared" si="35"/>
        <v>0.33773387591499926</v>
      </c>
      <c r="Z22" s="43">
        <f t="shared" si="36"/>
        <v>0.93380180570486182</v>
      </c>
      <c r="AA22" s="43">
        <f t="shared" si="37"/>
        <v>0.82754034813684818</v>
      </c>
    </row>
    <row r="23" spans="1:27" ht="15.75" customHeight="1" thickBot="1">
      <c r="A23" s="85" t="s">
        <v>61</v>
      </c>
      <c r="B23" s="87">
        <f>VIOLA_IOWA_pp!H23</f>
        <v>8.4387869999999996</v>
      </c>
      <c r="C23" s="24">
        <f>VIOLA__ORCH_pp!F23</f>
        <v>10.590720189592281</v>
      </c>
      <c r="D23" s="29">
        <f t="shared" si="19"/>
        <v>9.5147535947961401</v>
      </c>
      <c r="E23" s="28">
        <f>VIOLA__IOWA_mf!H23</f>
        <v>8.6450169999999993</v>
      </c>
      <c r="F23" s="24">
        <f>VIOLA__ORCH_mf!F23</f>
        <v>10.292742303539031</v>
      </c>
      <c r="G23" s="29">
        <f t="shared" si="20"/>
        <v>9.468879651769516</v>
      </c>
      <c r="H23" s="33">
        <f>VIOLA_IOWA_ff!H23</f>
        <v>7.6658568243161351</v>
      </c>
      <c r="I23" s="34">
        <f>VIOLA__ORCH_ff!F23</f>
        <v>11.97032878826381</v>
      </c>
      <c r="J23" s="35">
        <f t="shared" si="21"/>
        <v>9.8180928062899717</v>
      </c>
      <c r="K23" s="20"/>
      <c r="L23" s="46" t="str">
        <f t="shared" si="22"/>
        <v>A6</v>
      </c>
      <c r="M23" s="47">
        <f t="shared" si="23"/>
        <v>9.5147535947961401</v>
      </c>
      <c r="N23" s="47">
        <f t="shared" si="24"/>
        <v>9.468879651769516</v>
      </c>
      <c r="O23" s="47">
        <f t="shared" si="25"/>
        <v>9.8180928062899717</v>
      </c>
      <c r="P23" s="45">
        <f t="shared" si="26"/>
        <v>0.20622999999999969</v>
      </c>
      <c r="Q23" s="43">
        <f t="shared" si="27"/>
        <v>-0.97916017568386415</v>
      </c>
      <c r="R23" s="43">
        <f t="shared" si="28"/>
        <v>-0.77293017568386446</v>
      </c>
      <c r="S23" s="43">
        <f t="shared" si="29"/>
        <v>-0.29797788605324982</v>
      </c>
      <c r="T23" s="43">
        <f t="shared" si="30"/>
        <v>1.6775864847247792</v>
      </c>
      <c r="U23" s="43">
        <f t="shared" si="31"/>
        <v>1.3796085986715294</v>
      </c>
      <c r="V23" s="44">
        <f t="shared" si="32"/>
        <v>-4.5873943026624175E-2</v>
      </c>
      <c r="W23" s="44">
        <f t="shared" si="33"/>
        <v>0.34921315452045576</v>
      </c>
      <c r="X23" s="44">
        <f t="shared" si="34"/>
        <v>0.30333921149383158</v>
      </c>
      <c r="Y23" s="43">
        <f t="shared" si="35"/>
        <v>1.0759665947961405</v>
      </c>
      <c r="Z23" s="43">
        <f t="shared" si="36"/>
        <v>0.82386265176951579</v>
      </c>
      <c r="AA23" s="43">
        <f t="shared" si="37"/>
        <v>2.1522359819738375</v>
      </c>
    </row>
    <row r="24" spans="1:27" ht="15.75" customHeight="1" thickBot="1">
      <c r="A24" s="85" t="s">
        <v>62</v>
      </c>
      <c r="B24" s="87">
        <f>VIOLA_IOWA_pp!H24</f>
        <v>7.8561329999999998</v>
      </c>
      <c r="C24" s="24">
        <f>VIOLA__ORCH_pp!F24</f>
        <v>10.239594013535109</v>
      </c>
      <c r="D24" s="29">
        <f t="shared" si="19"/>
        <v>9.0478635067675555</v>
      </c>
      <c r="E24" s="28">
        <f>VIOLA__IOWA_mf!H24</f>
        <v>7.9388769999999997</v>
      </c>
      <c r="F24" s="24">
        <f>VIOLA__ORCH_mf!F24</f>
        <v>9.2955515743226176</v>
      </c>
      <c r="G24" s="29">
        <f t="shared" si="20"/>
        <v>8.6172142871613087</v>
      </c>
      <c r="H24" s="33">
        <f>VIOLA_IOWA_ff!H24</f>
        <v>8.3777706529524494</v>
      </c>
      <c r="I24" s="34">
        <f>VIOLA__ORCH_ff!F24</f>
        <v>8.6345738431500578</v>
      </c>
      <c r="J24" s="35">
        <f t="shared" si="21"/>
        <v>8.5061722480512536</v>
      </c>
      <c r="K24" s="20"/>
      <c r="L24" s="46" t="str">
        <f t="shared" si="22"/>
        <v>A#6</v>
      </c>
      <c r="M24" s="47">
        <f t="shared" si="23"/>
        <v>9.0478635067675555</v>
      </c>
      <c r="N24" s="47">
        <f t="shared" si="24"/>
        <v>8.6172142871613087</v>
      </c>
      <c r="O24" s="47">
        <f t="shared" si="25"/>
        <v>8.5061722480512536</v>
      </c>
      <c r="P24" s="45">
        <f t="shared" si="26"/>
        <v>8.2743999999999929E-2</v>
      </c>
      <c r="Q24" s="43">
        <f t="shared" si="27"/>
        <v>0.43889365295244964</v>
      </c>
      <c r="R24" s="43">
        <f t="shared" si="28"/>
        <v>0.52163765295244957</v>
      </c>
      <c r="S24" s="43">
        <f t="shared" si="29"/>
        <v>-0.94404243921249176</v>
      </c>
      <c r="T24" s="43">
        <f t="shared" si="30"/>
        <v>-0.66097773117255976</v>
      </c>
      <c r="U24" s="43">
        <f t="shared" si="31"/>
        <v>-1.6050201703850515</v>
      </c>
      <c r="V24" s="44">
        <f t="shared" si="32"/>
        <v>-0.4306492196062468</v>
      </c>
      <c r="W24" s="44">
        <f t="shared" si="33"/>
        <v>-0.11104203911005506</v>
      </c>
      <c r="X24" s="44">
        <f t="shared" si="34"/>
        <v>-0.54169125871630186</v>
      </c>
      <c r="Y24" s="43">
        <f t="shared" si="35"/>
        <v>1.1917305067675548</v>
      </c>
      <c r="Z24" s="43">
        <f t="shared" si="36"/>
        <v>0.67833728716130892</v>
      </c>
      <c r="AA24" s="43">
        <f t="shared" si="37"/>
        <v>0.12840159509880422</v>
      </c>
    </row>
    <row r="25" spans="1:27" ht="15.75" customHeight="1" thickBot="1">
      <c r="A25" s="85" t="s">
        <v>63</v>
      </c>
      <c r="B25" s="87">
        <f>VIOLA_IOWA_pp!H25</f>
        <v>7.2809860000000004</v>
      </c>
      <c r="C25" s="24">
        <f>VIOLA__ORCH_pp!F25</f>
        <v>8.6545282395782852</v>
      </c>
      <c r="D25" s="29">
        <f t="shared" si="19"/>
        <v>7.9677571197891428</v>
      </c>
      <c r="E25" s="28">
        <f>VIOLA__IOWA_mf!H25</f>
        <v>7.7153020000000003</v>
      </c>
      <c r="F25" s="24">
        <f>VIOLA__ORCH_mf!F25</f>
        <v>9.3269027051557156</v>
      </c>
      <c r="G25" s="29">
        <f t="shared" si="20"/>
        <v>8.5211023525778575</v>
      </c>
      <c r="H25" s="33">
        <f>VIOLA_IOWA_ff!H25</f>
        <v>8.7006390000000007</v>
      </c>
      <c r="I25" s="34">
        <f>VIOLA__ORCH_ff!F25</f>
        <v>8.5773432033645083</v>
      </c>
      <c r="J25" s="35">
        <f t="shared" si="21"/>
        <v>8.6389911016822545</v>
      </c>
      <c r="K25" s="20"/>
      <c r="L25" s="46" t="str">
        <f t="shared" si="22"/>
        <v>B6</v>
      </c>
      <c r="M25" s="47">
        <f t="shared" si="23"/>
        <v>7.9677571197891428</v>
      </c>
      <c r="N25" s="47">
        <f t="shared" si="24"/>
        <v>8.5211023525778575</v>
      </c>
      <c r="O25" s="47">
        <f t="shared" si="25"/>
        <v>8.6389911016822545</v>
      </c>
      <c r="P25" s="45">
        <f t="shared" si="26"/>
        <v>0.43431599999999992</v>
      </c>
      <c r="Q25" s="43">
        <f t="shared" si="27"/>
        <v>0.98533700000000035</v>
      </c>
      <c r="R25" s="43">
        <f t="shared" si="28"/>
        <v>1.4196530000000003</v>
      </c>
      <c r="S25" s="43">
        <f t="shared" si="29"/>
        <v>0.67237446557743041</v>
      </c>
      <c r="T25" s="43">
        <f t="shared" si="30"/>
        <v>-0.74955950179120734</v>
      </c>
      <c r="U25" s="43">
        <f t="shared" si="31"/>
        <v>-7.7185036213776925E-2</v>
      </c>
      <c r="V25" s="44">
        <f t="shared" si="32"/>
        <v>0.55334523278871472</v>
      </c>
      <c r="W25" s="44">
        <f t="shared" si="33"/>
        <v>0.11788874910439695</v>
      </c>
      <c r="X25" s="44">
        <f t="shared" si="34"/>
        <v>0.67123398189311168</v>
      </c>
      <c r="Y25" s="43">
        <f t="shared" si="35"/>
        <v>0.6867711197891424</v>
      </c>
      <c r="Z25" s="43">
        <f t="shared" si="36"/>
        <v>0.80580035257785765</v>
      </c>
      <c r="AA25" s="43">
        <f t="shared" si="37"/>
        <v>6.1647898317746197E-2</v>
      </c>
    </row>
    <row r="26" spans="1:27" ht="15.75" customHeight="1" thickBot="1">
      <c r="A26" s="85" t="s">
        <v>64</v>
      </c>
      <c r="B26" s="87">
        <f>VIOLA_IOWA_pp!H26</f>
        <v>6.7170779999999999</v>
      </c>
      <c r="C26" s="24">
        <f>VIOLA__ORCH_pp!F26</f>
        <v>8.4291896375750976</v>
      </c>
      <c r="D26" s="29">
        <f t="shared" si="19"/>
        <v>7.5731338187875483</v>
      </c>
      <c r="E26" s="28">
        <f>VIOLA__IOWA_mf!H26</f>
        <v>6.342333</v>
      </c>
      <c r="F26" s="24">
        <f>VIOLA__ORCH_mf!F26</f>
        <v>6.9084342905250322</v>
      </c>
      <c r="G26" s="29">
        <f t="shared" si="20"/>
        <v>6.6253836452625166</v>
      </c>
      <c r="H26" s="33">
        <f>VIOLA_IOWA_ff!H26</f>
        <v>8.089537</v>
      </c>
      <c r="I26" s="34">
        <f>VIOLA__ORCH_ff!F26</f>
        <v>7.6946931245555827</v>
      </c>
      <c r="J26" s="35">
        <f t="shared" si="21"/>
        <v>7.8921150622777914</v>
      </c>
      <c r="K26" s="20"/>
      <c r="L26" s="46" t="str">
        <f t="shared" si="22"/>
        <v>C7</v>
      </c>
      <c r="M26" s="47">
        <f t="shared" si="23"/>
        <v>7.5731338187875483</v>
      </c>
      <c r="N26" s="47">
        <f t="shared" si="24"/>
        <v>6.6253836452625166</v>
      </c>
      <c r="O26" s="47">
        <f t="shared" si="25"/>
        <v>7.8921150622777914</v>
      </c>
      <c r="P26" s="45">
        <f t="shared" si="26"/>
        <v>-0.37474499999999988</v>
      </c>
      <c r="Q26" s="43">
        <f t="shared" si="27"/>
        <v>1.747204</v>
      </c>
      <c r="R26" s="43">
        <f t="shared" si="28"/>
        <v>1.3724590000000001</v>
      </c>
      <c r="S26" s="43">
        <f t="shared" si="29"/>
        <v>-1.5207553470500654</v>
      </c>
      <c r="T26" s="43">
        <f t="shared" si="30"/>
        <v>0.78625883403055052</v>
      </c>
      <c r="U26" s="43">
        <f t="shared" si="31"/>
        <v>-0.73449651301951491</v>
      </c>
      <c r="V26" s="44">
        <f t="shared" si="32"/>
        <v>-0.94775017352503177</v>
      </c>
      <c r="W26" s="44">
        <f t="shared" si="33"/>
        <v>1.2667314170152748</v>
      </c>
      <c r="X26" s="44">
        <f t="shared" si="34"/>
        <v>0.31898124349024304</v>
      </c>
      <c r="Y26" s="43">
        <f t="shared" si="35"/>
        <v>0.85605581878754888</v>
      </c>
      <c r="Z26" s="43">
        <f t="shared" si="36"/>
        <v>0.28305064526251611</v>
      </c>
      <c r="AA26" s="43">
        <f t="shared" si="37"/>
        <v>0.19742193772220862</v>
      </c>
    </row>
    <row r="27" spans="1:27" ht="15" thickBot="1">
      <c r="A27" s="85" t="s">
        <v>65</v>
      </c>
      <c r="B27" s="87">
        <f>VIOLA_IOWA_pp!H27</f>
        <v>6.167878</v>
      </c>
      <c r="C27" s="24">
        <f>VIOLA__ORCH_pp!F27</f>
        <v>7.0014909999999997</v>
      </c>
      <c r="D27" s="29">
        <f t="shared" si="19"/>
        <v>6.5846844999999998</v>
      </c>
      <c r="E27" s="28">
        <f>VIOLA__IOWA_mf!H27</f>
        <v>6.0741519999999998</v>
      </c>
      <c r="F27" s="24">
        <f>VIOLA__ORCH_mf!F27</f>
        <v>6.8447114138076079</v>
      </c>
      <c r="G27" s="29">
        <f t="shared" si="20"/>
        <v>6.4594317069038034</v>
      </c>
      <c r="H27" s="33">
        <f>VIOLA_IOWA_ff!H27</f>
        <v>7.8481629999999996</v>
      </c>
      <c r="I27" s="34">
        <f>VIOLA__ORCH_ff!F27</f>
        <v>8.1294240000000002</v>
      </c>
      <c r="J27" s="35">
        <f t="shared" si="21"/>
        <v>7.9887934999999999</v>
      </c>
      <c r="K27" s="20"/>
      <c r="L27" s="46" t="str">
        <f t="shared" si="22"/>
        <v>C#7</v>
      </c>
      <c r="M27" s="47">
        <f t="shared" si="23"/>
        <v>6.5846844999999998</v>
      </c>
      <c r="N27" s="47">
        <f t="shared" si="24"/>
        <v>6.4594317069038034</v>
      </c>
      <c r="O27" s="47">
        <f t="shared" si="25"/>
        <v>7.9887934999999999</v>
      </c>
      <c r="P27" s="45">
        <f t="shared" si="26"/>
        <v>-9.3726000000000198E-2</v>
      </c>
      <c r="Q27" s="43">
        <f t="shared" si="27"/>
        <v>1.7740109999999998</v>
      </c>
      <c r="R27" s="43">
        <f t="shared" si="28"/>
        <v>1.6802849999999996</v>
      </c>
      <c r="S27" s="43">
        <f t="shared" si="29"/>
        <v>-0.15677958619239174</v>
      </c>
      <c r="T27" s="43">
        <f t="shared" si="30"/>
        <v>1.2847125861923923</v>
      </c>
      <c r="U27" s="43">
        <f t="shared" si="31"/>
        <v>1.1279330000000005</v>
      </c>
      <c r="V27" s="44">
        <f t="shared" si="32"/>
        <v>-0.12525279309619641</v>
      </c>
      <c r="W27" s="44">
        <f t="shared" si="33"/>
        <v>1.5293617930961965</v>
      </c>
      <c r="X27" s="44">
        <f t="shared" si="34"/>
        <v>1.4041090000000001</v>
      </c>
      <c r="Y27" s="43">
        <f t="shared" si="35"/>
        <v>0.41680649999999986</v>
      </c>
      <c r="Z27" s="43">
        <f t="shared" si="36"/>
        <v>0.38527970690380409</v>
      </c>
      <c r="AA27" s="43">
        <f t="shared" si="37"/>
        <v>0.14063050000000032</v>
      </c>
    </row>
    <row r="28" spans="1:27" ht="15" thickBot="1">
      <c r="A28" s="85" t="s">
        <v>66</v>
      </c>
      <c r="B28" s="87">
        <f>VIOLA_IOWA_pp!H28</f>
        <v>5.6365410000000002</v>
      </c>
      <c r="C28" s="24">
        <f>VIOLA__ORCH_pp!F28</f>
        <v>6.4046479999999999</v>
      </c>
      <c r="D28" s="29">
        <f t="shared" si="19"/>
        <v>6.0205944999999996</v>
      </c>
      <c r="E28" s="28">
        <f>VIOLA__IOWA_mf!H28</f>
        <v>5.8155960000000002</v>
      </c>
      <c r="F28" s="24">
        <f>VIOLA__ORCH_mf!F28</f>
        <v>6.8015035368310741</v>
      </c>
      <c r="G28" s="29">
        <f t="shared" si="20"/>
        <v>6.3085497684155367</v>
      </c>
      <c r="H28" s="33">
        <f>VIOLA_IOWA_ff!H28</f>
        <v>7.3572559999999996</v>
      </c>
      <c r="I28" s="34">
        <f>VIOLA__ORCH_ff!F28</f>
        <v>7.6750389999999999</v>
      </c>
      <c r="J28" s="35">
        <f t="shared" si="21"/>
        <v>7.5161474999999998</v>
      </c>
      <c r="K28" s="20"/>
      <c r="L28" s="46" t="str">
        <f t="shared" si="22"/>
        <v>D7</v>
      </c>
      <c r="M28" s="47">
        <f t="shared" si="23"/>
        <v>6.0205944999999996</v>
      </c>
      <c r="N28" s="47">
        <f t="shared" si="24"/>
        <v>6.3085497684155367</v>
      </c>
      <c r="O28" s="47">
        <f t="shared" si="25"/>
        <v>7.5161474999999998</v>
      </c>
      <c r="P28" s="45">
        <f t="shared" si="26"/>
        <v>0.17905499999999996</v>
      </c>
      <c r="Q28" s="43">
        <f t="shared" si="27"/>
        <v>1.5416599999999994</v>
      </c>
      <c r="R28" s="43">
        <f t="shared" si="28"/>
        <v>1.7207149999999993</v>
      </c>
      <c r="S28" s="43">
        <f t="shared" si="29"/>
        <v>0.39685553683107422</v>
      </c>
      <c r="T28" s="43">
        <f t="shared" si="30"/>
        <v>0.87353546316892583</v>
      </c>
      <c r="U28" s="43">
        <f t="shared" si="31"/>
        <v>1.270391</v>
      </c>
      <c r="V28" s="44">
        <f t="shared" si="32"/>
        <v>0.28795526841553709</v>
      </c>
      <c r="W28" s="44">
        <f t="shared" si="33"/>
        <v>1.207597731584463</v>
      </c>
      <c r="X28" s="44">
        <f t="shared" si="34"/>
        <v>1.4955530000000001</v>
      </c>
      <c r="Y28" s="43">
        <f t="shared" si="35"/>
        <v>0.38405349999999983</v>
      </c>
      <c r="Z28" s="43">
        <f t="shared" si="36"/>
        <v>0.49295376841553695</v>
      </c>
      <c r="AA28" s="43">
        <f t="shared" si="37"/>
        <v>0.15889150000000019</v>
      </c>
    </row>
    <row r="29" spans="1:27" ht="15" thickBot="1">
      <c r="A29" s="85" t="s">
        <v>67</v>
      </c>
      <c r="B29" s="87">
        <f>VIOLA_IOWA_pp!H29</f>
        <v>5.1258699999999999</v>
      </c>
      <c r="C29" s="24">
        <f>VIOLA__ORCH_pp!F29</f>
        <v>5.8261289999999999</v>
      </c>
      <c r="D29" s="29">
        <f t="shared" si="19"/>
        <v>5.4759995000000004</v>
      </c>
      <c r="E29" s="28">
        <f>VIOLA__IOWA_mf!H29</f>
        <v>6.0384609999999999</v>
      </c>
      <c r="F29" s="24">
        <f>VIOLA__ORCH_mf!F29</f>
        <v>7.7843937393149512</v>
      </c>
      <c r="G29" s="29">
        <f t="shared" si="20"/>
        <v>6.9114273696574759</v>
      </c>
      <c r="H29" s="33">
        <f>VIOLA_IOWA_ff!H29</f>
        <v>6.8667129999999998</v>
      </c>
      <c r="I29" s="34">
        <f>VIOLA__ORCH_ff!F29</f>
        <v>7.2219540000000002</v>
      </c>
      <c r="J29" s="35">
        <f t="shared" si="21"/>
        <v>7.0443335000000005</v>
      </c>
      <c r="K29" s="20"/>
      <c r="L29" s="46" t="str">
        <f t="shared" si="22"/>
        <v>D#7</v>
      </c>
      <c r="M29" s="47">
        <f t="shared" si="23"/>
        <v>5.4759995000000004</v>
      </c>
      <c r="N29" s="47">
        <f t="shared" si="24"/>
        <v>6.9114273696574759</v>
      </c>
      <c r="O29" s="47">
        <f t="shared" si="25"/>
        <v>7.0443335000000005</v>
      </c>
      <c r="P29" s="45">
        <f t="shared" si="26"/>
        <v>0.91259099999999993</v>
      </c>
      <c r="Q29" s="43">
        <f t="shared" si="27"/>
        <v>0.82825199999999999</v>
      </c>
      <c r="R29" s="43">
        <f t="shared" si="28"/>
        <v>1.7408429999999999</v>
      </c>
      <c r="S29" s="43">
        <f t="shared" si="29"/>
        <v>1.9582647393149513</v>
      </c>
      <c r="T29" s="43">
        <f t="shared" si="30"/>
        <v>-0.56243973931495095</v>
      </c>
      <c r="U29" s="43">
        <f t="shared" si="31"/>
        <v>1.3958250000000003</v>
      </c>
      <c r="V29" s="44">
        <f t="shared" si="32"/>
        <v>1.4354278696574756</v>
      </c>
      <c r="W29" s="44">
        <f t="shared" si="33"/>
        <v>0.13290613034252452</v>
      </c>
      <c r="X29" s="44">
        <f t="shared" si="34"/>
        <v>1.5683340000000001</v>
      </c>
      <c r="Y29" s="43">
        <f t="shared" si="35"/>
        <v>0.35012949999999998</v>
      </c>
      <c r="Z29" s="43">
        <f t="shared" si="36"/>
        <v>0.87296636965747565</v>
      </c>
      <c r="AA29" s="43">
        <f t="shared" si="37"/>
        <v>0.17762050000000018</v>
      </c>
    </row>
    <row r="30" spans="1:27" ht="15" thickBot="1">
      <c r="A30" s="85" t="s">
        <v>68</v>
      </c>
      <c r="B30" s="87">
        <f>VIOLA_IOWA_pp!H30</f>
        <v>4.6382770000000004</v>
      </c>
      <c r="C30" s="24">
        <f>VIOLA__ORCH_pp!F30</f>
        <v>5.2694369999999999</v>
      </c>
      <c r="D30" s="29">
        <f t="shared" si="19"/>
        <v>4.9538570000000002</v>
      </c>
      <c r="E30" s="28">
        <f>VIOLA__IOWA_mf!H30</f>
        <v>5.453106</v>
      </c>
      <c r="F30" s="24">
        <f>VIOLA__ORCH_mf!F30</f>
        <v>7.0446472303992271</v>
      </c>
      <c r="G30" s="29">
        <f t="shared" si="20"/>
        <v>6.2488766151996131</v>
      </c>
      <c r="H30" s="33">
        <f>VIOLA_IOWA_ff!H30</f>
        <v>6.3770410000000002</v>
      </c>
      <c r="I30" s="34">
        <f>VIOLA__ORCH_ff!F30</f>
        <v>6.7719719999999999</v>
      </c>
      <c r="J30" s="35">
        <f t="shared" si="21"/>
        <v>6.5745065</v>
      </c>
      <c r="K30" s="20"/>
      <c r="L30" s="46" t="str">
        <f t="shared" si="22"/>
        <v>E7</v>
      </c>
      <c r="M30" s="47">
        <f t="shared" si="23"/>
        <v>4.9538570000000002</v>
      </c>
      <c r="N30" s="47">
        <f t="shared" si="24"/>
        <v>6.2488766151996131</v>
      </c>
      <c r="O30" s="47">
        <f t="shared" si="25"/>
        <v>6.5745065</v>
      </c>
      <c r="P30" s="45">
        <f t="shared" si="26"/>
        <v>0.81482899999999958</v>
      </c>
      <c r="Q30" s="43">
        <f t="shared" si="27"/>
        <v>0.92393500000000017</v>
      </c>
      <c r="R30" s="43">
        <f t="shared" si="28"/>
        <v>1.7387639999999998</v>
      </c>
      <c r="S30" s="43">
        <f t="shared" si="29"/>
        <v>1.7752102303992272</v>
      </c>
      <c r="T30" s="43">
        <f t="shared" si="30"/>
        <v>-0.27267523039922725</v>
      </c>
      <c r="U30" s="43">
        <f t="shared" si="31"/>
        <v>1.502535</v>
      </c>
      <c r="V30" s="44">
        <f t="shared" si="32"/>
        <v>1.295019615199613</v>
      </c>
      <c r="W30" s="44">
        <f t="shared" si="33"/>
        <v>0.3256298848003869</v>
      </c>
      <c r="X30" s="44">
        <f t="shared" si="34"/>
        <v>1.6206494999999999</v>
      </c>
      <c r="Y30" s="43">
        <f t="shared" si="35"/>
        <v>0.31557999999999975</v>
      </c>
      <c r="Z30" s="43">
        <f t="shared" si="36"/>
        <v>0.79577061519961356</v>
      </c>
      <c r="AA30" s="43">
        <f t="shared" si="37"/>
        <v>0.19746549999999985</v>
      </c>
    </row>
    <row r="31" spans="1:27" ht="15" thickBot="1">
      <c r="A31" s="85" t="s">
        <v>69</v>
      </c>
      <c r="B31" s="87">
        <f>VIOLA_IOWA_pp!H31</f>
        <v>4.1757679999999997</v>
      </c>
      <c r="C31" s="24">
        <f>VIOLA__ORCH_pp!F31</f>
        <v>4.7376909999999999</v>
      </c>
      <c r="D31" s="29">
        <f t="shared" si="19"/>
        <v>4.4567294999999998</v>
      </c>
      <c r="E31" s="28">
        <f>VIOLA__IOWA_mf!H31</f>
        <v>4.7894459999999999</v>
      </c>
      <c r="F31" s="24">
        <f>VIOLA__ORCH_mf!F31</f>
        <v>6.1379999247093364</v>
      </c>
      <c r="G31" s="29">
        <f t="shared" si="20"/>
        <v>5.4637229623546677</v>
      </c>
      <c r="H31" s="33">
        <f>VIOLA_IOWA_ff!H31</f>
        <v>5.8887640000000001</v>
      </c>
      <c r="I31" s="34">
        <f>VIOLA__ORCH_ff!F31</f>
        <v>6.3269590000000004</v>
      </c>
      <c r="J31" s="35">
        <f t="shared" si="21"/>
        <v>6.1078615000000003</v>
      </c>
      <c r="K31" s="20"/>
      <c r="L31" s="46" t="str">
        <f t="shared" si="22"/>
        <v>F7</v>
      </c>
      <c r="M31" s="47">
        <f t="shared" si="23"/>
        <v>4.4567294999999998</v>
      </c>
      <c r="N31" s="47">
        <f t="shared" si="24"/>
        <v>5.4637229623546677</v>
      </c>
      <c r="O31" s="47">
        <f t="shared" si="25"/>
        <v>6.1078615000000003</v>
      </c>
      <c r="P31" s="45">
        <f t="shared" si="26"/>
        <v>0.61367800000000017</v>
      </c>
      <c r="Q31" s="43">
        <f t="shared" si="27"/>
        <v>1.0993180000000002</v>
      </c>
      <c r="R31" s="43">
        <f t="shared" si="28"/>
        <v>1.7129960000000004</v>
      </c>
      <c r="S31" s="43">
        <f t="shared" si="29"/>
        <v>1.4003089247093365</v>
      </c>
      <c r="T31" s="43">
        <f t="shared" si="30"/>
        <v>0.18895907529066402</v>
      </c>
      <c r="U31" s="43">
        <f t="shared" si="31"/>
        <v>1.5892680000000006</v>
      </c>
      <c r="V31" s="44">
        <f t="shared" si="32"/>
        <v>1.0069934623546679</v>
      </c>
      <c r="W31" s="44">
        <f t="shared" si="33"/>
        <v>0.64413853764533258</v>
      </c>
      <c r="X31" s="44">
        <f t="shared" si="34"/>
        <v>1.6511320000000005</v>
      </c>
      <c r="Y31" s="43">
        <f t="shared" si="35"/>
        <v>0.28096150000000009</v>
      </c>
      <c r="Z31" s="43">
        <f t="shared" si="36"/>
        <v>0.67427696235466827</v>
      </c>
      <c r="AA31" s="43">
        <f t="shared" si="37"/>
        <v>0.21909750000000017</v>
      </c>
    </row>
    <row r="32" spans="1:27" ht="15" thickBot="1">
      <c r="A32" s="85" t="s">
        <v>319</v>
      </c>
      <c r="B32" s="87">
        <f>VIOLA_IOWA_pp!H32</f>
        <v>3.7399269999999998</v>
      </c>
      <c r="C32" s="24">
        <f>VIOLA__ORCH_pp!F32</f>
        <v>4.2335719999999997</v>
      </c>
      <c r="D32" s="29">
        <f t="shared" si="19"/>
        <v>3.9867494999999997</v>
      </c>
      <c r="E32" s="28">
        <f>VIOLA__IOWA_mf!H32</f>
        <v>4.5648850000000003</v>
      </c>
      <c r="F32" s="24">
        <f>VIOLA__ORCH_mf!F32</f>
        <v>5.7991140000000003</v>
      </c>
      <c r="G32" s="29">
        <f t="shared" si="20"/>
        <v>5.1819994999999999</v>
      </c>
      <c r="H32" s="33">
        <f>VIOLA_IOWA_ff!H32</f>
        <v>5.402412</v>
      </c>
      <c r="I32" s="34">
        <f>VIOLA__ORCH_ff!F32</f>
        <v>5.8888049999999996</v>
      </c>
      <c r="J32" s="35">
        <f t="shared" si="21"/>
        <v>5.6456084999999998</v>
      </c>
      <c r="K32" s="20"/>
      <c r="L32" s="46" t="str">
        <f t="shared" si="22"/>
        <v>F#7</v>
      </c>
      <c r="M32" s="47">
        <f t="shared" si="23"/>
        <v>3.9867494999999997</v>
      </c>
      <c r="N32" s="47">
        <f t="shared" si="24"/>
        <v>5.1819994999999999</v>
      </c>
      <c r="O32" s="47">
        <f t="shared" si="25"/>
        <v>5.6456084999999998</v>
      </c>
      <c r="P32" s="45">
        <f t="shared" si="26"/>
        <v>0.82495800000000052</v>
      </c>
      <c r="Q32" s="43">
        <f t="shared" si="27"/>
        <v>0.83752699999999969</v>
      </c>
      <c r="R32" s="43">
        <f t="shared" si="28"/>
        <v>1.6624850000000002</v>
      </c>
      <c r="S32" s="43">
        <f t="shared" si="29"/>
        <v>1.5655420000000007</v>
      </c>
      <c r="T32" s="43">
        <f t="shared" si="30"/>
        <v>8.9690999999999299E-2</v>
      </c>
      <c r="U32" s="43">
        <f t="shared" si="31"/>
        <v>1.655233</v>
      </c>
      <c r="V32" s="44">
        <f t="shared" si="32"/>
        <v>1.1952500000000001</v>
      </c>
      <c r="W32" s="44">
        <f t="shared" si="33"/>
        <v>0.46360899999999994</v>
      </c>
      <c r="X32" s="44">
        <f t="shared" si="34"/>
        <v>1.6588590000000001</v>
      </c>
      <c r="Y32" s="43">
        <f t="shared" si="35"/>
        <v>0.24682249999999994</v>
      </c>
      <c r="Z32" s="43">
        <f t="shared" si="36"/>
        <v>0.61711450000000001</v>
      </c>
      <c r="AA32" s="43">
        <f t="shared" si="37"/>
        <v>0.24319649999999982</v>
      </c>
    </row>
    <row r="33" spans="1:27" ht="15" thickBot="1">
      <c r="A33" s="85" t="s">
        <v>70</v>
      </c>
      <c r="B33" s="87">
        <f>VIOLA_IOWA_pp!H33</f>
        <v>3.331909</v>
      </c>
      <c r="C33" s="24">
        <f>VIOLA__ORCH_pp!F33</f>
        <v>3.7592729999999999</v>
      </c>
      <c r="D33" s="29">
        <f t="shared" si="19"/>
        <v>3.5455909999999999</v>
      </c>
      <c r="E33" s="28">
        <f>VIOLA__IOWA_mf!H33</f>
        <v>4.0777060000000001</v>
      </c>
      <c r="F33" s="24">
        <f>VIOLA__ORCH_mf!F33</f>
        <v>5.6367526472001437</v>
      </c>
      <c r="G33" s="29">
        <f t="shared" si="20"/>
        <v>4.8572293236000714</v>
      </c>
      <c r="H33" s="33">
        <f>VIOLA_IOWA_ff!H33</f>
        <v>4.9185150000000002</v>
      </c>
      <c r="I33" s="34">
        <f>VIOLA__ORCH_ff!F33</f>
        <v>5.4593980000000002</v>
      </c>
      <c r="J33" s="35">
        <f t="shared" si="21"/>
        <v>5.1889564999999997</v>
      </c>
      <c r="K33" s="20"/>
      <c r="L33" s="46" t="str">
        <f t="shared" si="22"/>
        <v>G7</v>
      </c>
      <c r="M33" s="47">
        <f t="shared" si="23"/>
        <v>3.5455909999999999</v>
      </c>
      <c r="N33" s="47">
        <f t="shared" si="24"/>
        <v>4.8572293236000714</v>
      </c>
      <c r="O33" s="47">
        <f t="shared" si="25"/>
        <v>5.1889564999999997</v>
      </c>
      <c r="P33" s="45">
        <f t="shared" si="26"/>
        <v>0.74579700000000004</v>
      </c>
      <c r="Q33" s="43">
        <f t="shared" si="27"/>
        <v>0.84080900000000014</v>
      </c>
      <c r="R33" s="43">
        <f t="shared" si="28"/>
        <v>1.5866060000000002</v>
      </c>
      <c r="S33" s="43">
        <f t="shared" si="29"/>
        <v>1.8774796472001438</v>
      </c>
      <c r="T33" s="43">
        <f t="shared" si="30"/>
        <v>-0.17735464720014349</v>
      </c>
      <c r="U33" s="43">
        <f t="shared" si="31"/>
        <v>1.7001250000000003</v>
      </c>
      <c r="V33" s="44">
        <f t="shared" si="32"/>
        <v>1.3116383236000715</v>
      </c>
      <c r="W33" s="44">
        <f t="shared" si="33"/>
        <v>0.33172717639992833</v>
      </c>
      <c r="X33" s="44">
        <f t="shared" si="34"/>
        <v>1.6433654999999998</v>
      </c>
      <c r="Y33" s="43">
        <f t="shared" si="35"/>
        <v>0.21368199999999993</v>
      </c>
      <c r="Z33" s="43">
        <f t="shared" si="36"/>
        <v>0.77952332360007182</v>
      </c>
      <c r="AA33" s="43">
        <f t="shared" si="37"/>
        <v>0.2704415</v>
      </c>
    </row>
    <row r="34" spans="1:27" ht="15" thickBot="1">
      <c r="A34" s="85" t="s">
        <v>71</v>
      </c>
      <c r="B34" s="87">
        <f>VIOLA_IOWA_pp!H34</f>
        <v>2.9524509999999999</v>
      </c>
      <c r="C34" s="24">
        <f>VIOLA__ORCH_pp!F34</f>
        <v>3.3164750000000001</v>
      </c>
      <c r="D34" s="29">
        <f t="shared" si="19"/>
        <v>3.1344630000000002</v>
      </c>
      <c r="E34" s="28">
        <f>VIOLA__IOWA_mf!H34</f>
        <v>3.578586</v>
      </c>
      <c r="F34" s="24">
        <f>VIOLA__ORCH_mf!F34</f>
        <v>5.5310395525017588</v>
      </c>
      <c r="G34" s="29">
        <f t="shared" si="20"/>
        <v>4.5548127762508797</v>
      </c>
      <c r="H34" s="33">
        <f>VIOLA_IOWA_ff!H34</f>
        <v>4.4375910000000003</v>
      </c>
      <c r="I34" s="34">
        <f>VIOLA__ORCH_ff!F34</f>
        <v>5.0405829999999998</v>
      </c>
      <c r="J34" s="35">
        <f t="shared" si="21"/>
        <v>4.7390869999999996</v>
      </c>
      <c r="K34" s="20"/>
      <c r="L34" s="46" t="str">
        <f t="shared" si="22"/>
        <v>G#7</v>
      </c>
      <c r="M34" s="47">
        <f t="shared" si="23"/>
        <v>3.1344630000000002</v>
      </c>
      <c r="N34" s="47">
        <f t="shared" si="24"/>
        <v>4.5548127762508797</v>
      </c>
      <c r="O34" s="47">
        <f t="shared" si="25"/>
        <v>4.7390869999999996</v>
      </c>
      <c r="P34" s="45">
        <f t="shared" si="26"/>
        <v>0.62613500000000011</v>
      </c>
      <c r="Q34" s="43">
        <f t="shared" si="27"/>
        <v>0.85900500000000024</v>
      </c>
      <c r="R34" s="43">
        <f t="shared" si="28"/>
        <v>1.4851400000000003</v>
      </c>
      <c r="S34" s="43">
        <f t="shared" si="29"/>
        <v>2.2145645525017588</v>
      </c>
      <c r="T34" s="43">
        <f t="shared" si="30"/>
        <v>-0.49045655250175901</v>
      </c>
      <c r="U34" s="43">
        <f t="shared" si="31"/>
        <v>1.7241079999999998</v>
      </c>
      <c r="V34" s="44">
        <f t="shared" si="32"/>
        <v>1.4203497762508794</v>
      </c>
      <c r="W34" s="44">
        <f t="shared" si="33"/>
        <v>0.18427422374911995</v>
      </c>
      <c r="X34" s="44">
        <f t="shared" si="34"/>
        <v>1.6046239999999994</v>
      </c>
      <c r="Y34" s="43">
        <f t="shared" si="35"/>
        <v>0.18201200000000006</v>
      </c>
      <c r="Z34" s="43">
        <f t="shared" si="36"/>
        <v>0.97622677625087939</v>
      </c>
      <c r="AA34" s="43">
        <f t="shared" si="37"/>
        <v>0.30149599999999976</v>
      </c>
    </row>
    <row r="35" spans="1:27" ht="15" thickBot="1">
      <c r="A35" s="85" t="s">
        <v>72</v>
      </c>
      <c r="B35" s="87">
        <f>VIOLA_IOWA_pp!H35</f>
        <v>2.6018870000000001</v>
      </c>
      <c r="C35" s="24">
        <f>VIOLA__ORCH_pp!F35</f>
        <v>2.9063289999999999</v>
      </c>
      <c r="D35" s="29">
        <f t="shared" si="19"/>
        <v>2.754108</v>
      </c>
      <c r="E35" s="28">
        <f>VIOLA__IOWA_mf!H35</f>
        <v>3.5751490000000001</v>
      </c>
      <c r="F35" s="24">
        <f>VIOLA__ORCH_mf!F35</f>
        <v>4.2554099418289528</v>
      </c>
      <c r="G35" s="29">
        <f t="shared" si="20"/>
        <v>3.9152794709144763</v>
      </c>
      <c r="H35" s="33">
        <f>VIOLA_IOWA_ff!H35</f>
        <v>4.1200850000000004</v>
      </c>
      <c r="I35" s="34">
        <f>VIOLA__ORCH_ff!F35</f>
        <v>4.6341289999999997</v>
      </c>
      <c r="J35" s="35">
        <f t="shared" si="21"/>
        <v>4.3771070000000005</v>
      </c>
      <c r="K35" s="20"/>
      <c r="L35" s="46" t="str">
        <f t="shared" si="22"/>
        <v>A7</v>
      </c>
      <c r="M35" s="47">
        <f t="shared" si="23"/>
        <v>2.754108</v>
      </c>
      <c r="N35" s="47">
        <f t="shared" si="24"/>
        <v>3.9152794709144763</v>
      </c>
      <c r="O35" s="47">
        <f t="shared" si="25"/>
        <v>4.3771070000000005</v>
      </c>
      <c r="P35" s="45">
        <f t="shared" si="26"/>
        <v>0.97326200000000007</v>
      </c>
      <c r="Q35" s="43">
        <f t="shared" si="27"/>
        <v>0.54493600000000031</v>
      </c>
      <c r="R35" s="43">
        <f t="shared" si="28"/>
        <v>1.5181980000000004</v>
      </c>
      <c r="S35" s="43">
        <f t="shared" si="29"/>
        <v>1.3490809418289529</v>
      </c>
      <c r="T35" s="43">
        <f t="shared" si="30"/>
        <v>0.3787190581710469</v>
      </c>
      <c r="U35" s="43">
        <f t="shared" si="31"/>
        <v>1.7277999999999998</v>
      </c>
      <c r="V35" s="44">
        <f t="shared" si="32"/>
        <v>1.1611714709144763</v>
      </c>
      <c r="W35" s="44">
        <f t="shared" si="33"/>
        <v>0.46182752908552427</v>
      </c>
      <c r="X35" s="44">
        <f t="shared" si="34"/>
        <v>1.6229990000000005</v>
      </c>
      <c r="Y35" s="43">
        <f t="shared" si="35"/>
        <v>0.15222099999999994</v>
      </c>
      <c r="Z35" s="43">
        <f t="shared" si="36"/>
        <v>0.34013047091447635</v>
      </c>
      <c r="AA35" s="43">
        <f t="shared" si="37"/>
        <v>0.25702199999999964</v>
      </c>
    </row>
    <row r="36" spans="1:27" ht="15" thickBot="1">
      <c r="A36" s="85" t="s">
        <v>73</v>
      </c>
      <c r="B36" s="87">
        <f>VIOLA_IOWA_pp!H36</f>
        <v>2.2801659999999999</v>
      </c>
      <c r="C36" s="24">
        <f>VIOLA__ORCH_pp!F36</f>
        <v>2.5294560000000001</v>
      </c>
      <c r="D36" s="29">
        <f t="shared" si="19"/>
        <v>2.404811</v>
      </c>
      <c r="E36" s="28">
        <f>VIOLA__IOWA_mf!H36</f>
        <v>3.0775800000000002</v>
      </c>
      <c r="F36" s="24">
        <f>VIOLA__ORCH_mf!F36</f>
        <v>4.282131342642522</v>
      </c>
      <c r="G36" s="29">
        <f t="shared" si="20"/>
        <v>3.6798556713212611</v>
      </c>
      <c r="H36" s="33">
        <f>VIOLA_IOWA_ff!H36</f>
        <v>3.9152589999999998</v>
      </c>
      <c r="I36" s="34">
        <f>VIOLA__ORCH_ff!F36</f>
        <v>4.2416989999999997</v>
      </c>
      <c r="J36" s="35">
        <f t="shared" si="21"/>
        <v>4.0784789999999997</v>
      </c>
      <c r="K36" s="20"/>
      <c r="L36" s="46" t="str">
        <f t="shared" si="22"/>
        <v>A#7</v>
      </c>
      <c r="M36" s="47">
        <f t="shared" si="23"/>
        <v>2.404811</v>
      </c>
      <c r="N36" s="47">
        <f t="shared" si="24"/>
        <v>3.6798556713212611</v>
      </c>
      <c r="O36" s="47">
        <f t="shared" si="25"/>
        <v>4.0784789999999997</v>
      </c>
      <c r="P36" s="45">
        <f t="shared" si="26"/>
        <v>0.79741400000000029</v>
      </c>
      <c r="Q36" s="43">
        <f t="shared" si="27"/>
        <v>0.83767899999999962</v>
      </c>
      <c r="R36" s="43">
        <f t="shared" si="28"/>
        <v>1.6350929999999999</v>
      </c>
      <c r="S36" s="43">
        <f t="shared" si="29"/>
        <v>1.7526753426425219</v>
      </c>
      <c r="T36" s="43">
        <f t="shared" si="30"/>
        <v>-4.0432342642522379E-2</v>
      </c>
      <c r="U36" s="43">
        <f t="shared" si="31"/>
        <v>1.7122429999999995</v>
      </c>
      <c r="V36" s="44">
        <f t="shared" si="32"/>
        <v>1.2750446713212611</v>
      </c>
      <c r="W36" s="44">
        <f t="shared" si="33"/>
        <v>0.39862332867873862</v>
      </c>
      <c r="X36" s="44">
        <f t="shared" si="34"/>
        <v>1.6736679999999997</v>
      </c>
      <c r="Y36" s="43">
        <f t="shared" si="35"/>
        <v>0.12464500000000012</v>
      </c>
      <c r="Z36" s="43">
        <f t="shared" si="36"/>
        <v>0.60227567132126092</v>
      </c>
      <c r="AA36" s="43">
        <f t="shared" si="37"/>
        <v>0.16321999999999992</v>
      </c>
    </row>
    <row r="37" spans="1:27" ht="15" thickBot="1">
      <c r="A37" s="86" t="s">
        <v>74</v>
      </c>
      <c r="B37" s="87">
        <f>VIOLA_IOWA_pp!H37</f>
        <v>2.0428600000000001</v>
      </c>
      <c r="C37" s="24">
        <f>VIOLA__ORCH_pp!F37</f>
        <v>2.2617090000000002</v>
      </c>
      <c r="D37" s="29">
        <f t="shared" si="19"/>
        <v>2.1522845000000004</v>
      </c>
      <c r="E37" s="28">
        <f>VIOLA__IOWA_mf!H37</f>
        <v>3.0359259999999999</v>
      </c>
      <c r="F37" s="24">
        <f>VIOLA__ORCH_mf!F37</f>
        <v>4.249494394106998</v>
      </c>
      <c r="G37" s="29">
        <f t="shared" si="20"/>
        <v>3.642710197053499</v>
      </c>
      <c r="H37" s="33">
        <f>VIOLA_IOWA_ff!H37</f>
        <v>3.7206160000000001</v>
      </c>
      <c r="I37" s="34">
        <f>VIOLA__ORCH_ff!F37</f>
        <v>3.9499849999999999</v>
      </c>
      <c r="J37" s="35">
        <f t="shared" si="21"/>
        <v>3.8353004999999998</v>
      </c>
      <c r="K37" s="20"/>
      <c r="L37" s="46" t="str">
        <f t="shared" si="22"/>
        <v>B7</v>
      </c>
      <c r="M37" s="47">
        <f t="shared" si="23"/>
        <v>2.1522845000000004</v>
      </c>
      <c r="N37" s="47">
        <f t="shared" si="24"/>
        <v>3.642710197053499</v>
      </c>
      <c r="O37" s="47">
        <f t="shared" si="25"/>
        <v>3.8353004999999998</v>
      </c>
      <c r="P37" s="45">
        <f t="shared" si="26"/>
        <v>0.99306599999999978</v>
      </c>
      <c r="Q37" s="43">
        <f t="shared" si="27"/>
        <v>0.68469000000000024</v>
      </c>
      <c r="R37" s="43">
        <f t="shared" si="28"/>
        <v>1.677756</v>
      </c>
      <c r="S37" s="43">
        <f t="shared" si="29"/>
        <v>1.9877853941069978</v>
      </c>
      <c r="T37" s="43">
        <f t="shared" si="30"/>
        <v>-0.29950939410699817</v>
      </c>
      <c r="U37" s="43">
        <f t="shared" si="31"/>
        <v>1.6882759999999997</v>
      </c>
      <c r="V37" s="44">
        <f t="shared" si="32"/>
        <v>1.4904256970534986</v>
      </c>
      <c r="W37" s="44">
        <f t="shared" si="33"/>
        <v>0.19259030294650081</v>
      </c>
      <c r="X37" s="44">
        <f t="shared" si="34"/>
        <v>1.6830159999999994</v>
      </c>
      <c r="Y37" s="43">
        <f t="shared" si="35"/>
        <v>0.10942450000000004</v>
      </c>
      <c r="Z37" s="43">
        <f t="shared" si="36"/>
        <v>0.60678419705349906</v>
      </c>
      <c r="AA37" s="43">
        <f t="shared" si="37"/>
        <v>0.11468449999999986</v>
      </c>
    </row>
    <row r="45" spans="1:27" ht="15.75" customHeight="1">
      <c r="D45">
        <v>18.948740849245429</v>
      </c>
      <c r="E45">
        <v>18.075050486304541</v>
      </c>
    </row>
    <row r="46" spans="1:27" ht="15.75" customHeight="1">
      <c r="D46">
        <v>17.368003919209539</v>
      </c>
      <c r="E46">
        <v>18.648787733399551</v>
      </c>
    </row>
    <row r="47" spans="1:27" ht="15.75" customHeight="1">
      <c r="D47">
        <v>19.74139435343184</v>
      </c>
      <c r="E47">
        <v>19.83188648745843</v>
      </c>
    </row>
    <row r="48" spans="1:27" ht="15.75" customHeight="1">
      <c r="D48">
        <v>18.997535747776851</v>
      </c>
      <c r="E48">
        <v>17.457204330941298</v>
      </c>
    </row>
    <row r="49" spans="4:5" ht="15.75" customHeight="1">
      <c r="D49">
        <v>17.146357297649001</v>
      </c>
      <c r="E49">
        <v>14.97764632540818</v>
      </c>
    </row>
    <row r="50" spans="4:5" ht="15.75" customHeight="1">
      <c r="D50">
        <v>14.249828417928461</v>
      </c>
      <c r="E50">
        <v>16.77664123550533</v>
      </c>
    </row>
    <row r="51" spans="4:5" ht="15.75" customHeight="1">
      <c r="D51">
        <v>11.249884085261231</v>
      </c>
      <c r="E51">
        <v>15.46619999264456</v>
      </c>
    </row>
    <row r="52" spans="4:5" ht="15.75" customHeight="1">
      <c r="D52">
        <v>13.932831311267419</v>
      </c>
      <c r="E52">
        <v>14.477360058962001</v>
      </c>
    </row>
    <row r="53" spans="4:5" ht="15.75" customHeight="1">
      <c r="D53">
        <v>14.770431820613339</v>
      </c>
      <c r="E53">
        <v>16.053308412098019</v>
      </c>
    </row>
    <row r="54" spans="4:5" ht="15.75" customHeight="1">
      <c r="D54">
        <v>12.924435739226411</v>
      </c>
      <c r="E54">
        <v>13.94932375176454</v>
      </c>
    </row>
    <row r="55" spans="4:5" ht="15.75" customHeight="1">
      <c r="D55">
        <v>15.506956617536821</v>
      </c>
      <c r="E55">
        <v>15.17808113277666</v>
      </c>
    </row>
    <row r="56" spans="4:5" ht="15.75" customHeight="1">
      <c r="D56">
        <v>15.638457745326811</v>
      </c>
      <c r="E56">
        <v>14.130975616705371</v>
      </c>
    </row>
    <row r="57" spans="4:5" ht="15.75" customHeight="1">
      <c r="D57">
        <v>16.395767422090461</v>
      </c>
      <c r="E57">
        <v>13.308912577564911</v>
      </c>
    </row>
    <row r="58" spans="4:5" ht="15.75" customHeight="1">
      <c r="D58">
        <v>13.749790523154941</v>
      </c>
      <c r="E58">
        <v>11.47237342923837</v>
      </c>
    </row>
    <row r="59" spans="4:5" ht="15.75" customHeight="1">
      <c r="D59">
        <v>13.564736055626421</v>
      </c>
      <c r="E59">
        <v>12.934513759726769</v>
      </c>
    </row>
    <row r="60" spans="4:5" ht="15.75" customHeight="1">
      <c r="D60">
        <v>12.64585740317532</v>
      </c>
      <c r="E60">
        <v>14.36801219488558</v>
      </c>
    </row>
    <row r="61" spans="4:5" ht="15.75" customHeight="1">
      <c r="D61">
        <v>13.64276698324344</v>
      </c>
      <c r="E61">
        <v>15.64765853618095</v>
      </c>
    </row>
    <row r="62" spans="4:5" ht="15.75" customHeight="1">
      <c r="D62">
        <v>10.62892761770617</v>
      </c>
      <c r="E62">
        <v>10.205784921689</v>
      </c>
    </row>
    <row r="63" spans="4:5" ht="15.75" customHeight="1">
      <c r="D63">
        <v>12.453282180020119</v>
      </c>
      <c r="E63">
        <v>11.19017753901146</v>
      </c>
    </row>
    <row r="64" spans="4:5" ht="15.75" customHeight="1">
      <c r="D64">
        <v>11.0675036037123</v>
      </c>
      <c r="E64">
        <v>10.296213709077881</v>
      </c>
    </row>
    <row r="65" spans="4:5" ht="15.75" customHeight="1">
      <c r="D65">
        <v>8.568519787091244</v>
      </c>
      <c r="E65">
        <v>10.22360048336494</v>
      </c>
    </row>
    <row r="66" spans="4:5" ht="15.75" customHeight="1">
      <c r="D66">
        <v>11.97032878826381</v>
      </c>
      <c r="E66">
        <v>7.6658568243161351</v>
      </c>
    </row>
    <row r="67" spans="4:5" ht="15.75" customHeight="1">
      <c r="D67">
        <v>8.6345738431500578</v>
      </c>
      <c r="E67">
        <v>8.3777706529524494</v>
      </c>
    </row>
    <row r="68" spans="4:5" ht="15.75" customHeight="1">
      <c r="D68">
        <v>8.5773432033645083</v>
      </c>
    </row>
    <row r="69" spans="4:5" ht="15.75" customHeight="1">
      <c r="D69">
        <v>7.6946931245555827</v>
      </c>
    </row>
    <row r="70" spans="4:5" ht="15.75" customHeight="1">
      <c r="D70">
        <v>8.1294240000000002</v>
      </c>
    </row>
    <row r="71" spans="4:5" ht="15.75" customHeight="1">
      <c r="D71">
        <v>7.6750389999999999</v>
      </c>
    </row>
    <row r="72" spans="4:5" ht="15.75" customHeight="1">
      <c r="D72">
        <v>7.2219540000000002</v>
      </c>
    </row>
    <row r="73" spans="4:5" ht="15.75" customHeight="1">
      <c r="D73">
        <v>6.7719719999999999</v>
      </c>
    </row>
    <row r="74" spans="4:5" ht="15.75" customHeight="1">
      <c r="D74">
        <v>6.3269590000000004</v>
      </c>
    </row>
    <row r="75" spans="4:5" ht="15.75" customHeight="1">
      <c r="D75">
        <v>5.8888049999999996</v>
      </c>
    </row>
    <row r="76" spans="4:5" ht="15.75" customHeight="1">
      <c r="D76">
        <v>5.4593980000000002</v>
      </c>
    </row>
    <row r="77" spans="4:5" ht="15.75" customHeight="1">
      <c r="D77">
        <v>5.0405829999999998</v>
      </c>
    </row>
    <row r="78" spans="4:5" ht="15.75" customHeight="1">
      <c r="D78">
        <v>4.6341289999999997</v>
      </c>
      <c r="E78">
        <v>5</v>
      </c>
    </row>
    <row r="79" spans="4:5" ht="15.75" customHeight="1">
      <c r="D79">
        <v>4.2416989999999997</v>
      </c>
    </row>
    <row r="80" spans="4:5" ht="15.75" customHeight="1">
      <c r="D80">
        <v>3.9499849999999999</v>
      </c>
    </row>
  </sheetData>
  <conditionalFormatting sqref="D1 G1 J1">
    <cfRule type="dataBar" priority="41">
      <dataBar>
        <cfvo type="min"/>
        <cfvo type="max"/>
        <color rgb="FFD6007B"/>
      </dataBar>
    </cfRule>
  </conditionalFormatting>
  <conditionalFormatting sqref="D2:D37">
    <cfRule type="dataBar" priority="3">
      <dataBar>
        <cfvo type="min"/>
        <cfvo type="max"/>
        <color rgb="FFFFB628"/>
      </dataBar>
      <extLst>
        <ext xmlns:x14="http://schemas.microsoft.com/office/spreadsheetml/2009/9/main" uri="{B025F937-C7B1-47D3-B67F-A62EFF666E3E}">
          <x14:id>{00000000-000E-0000-0700-00000A000000}</x14:id>
        </ext>
      </extLst>
    </cfRule>
    <cfRule type="dataBar" priority="63">
      <dataBar>
        <cfvo type="min"/>
        <cfvo type="max"/>
        <color rgb="FF156082"/>
      </dataBar>
    </cfRule>
  </conditionalFormatting>
  <conditionalFormatting sqref="D2:D37 G2:G37 J2:J37">
    <cfRule type="dataBar" priority="59">
      <dataBar>
        <cfvo type="min"/>
        <cfvo type="max"/>
        <color rgb="FFD6007B"/>
      </dataBar>
    </cfRule>
  </conditionalFormatting>
  <conditionalFormatting sqref="G2:G37">
    <cfRule type="dataBar" priority="2">
      <dataBar>
        <cfvo type="min"/>
        <cfvo type="max"/>
        <color rgb="FFFFB628"/>
      </dataBar>
      <extLst>
        <ext xmlns:x14="http://schemas.microsoft.com/office/spreadsheetml/2009/9/main" uri="{B025F937-C7B1-47D3-B67F-A62EFF666E3E}">
          <x14:id>{00000000-000E-0000-0700-000009000000}</x14:id>
        </ext>
      </extLst>
    </cfRule>
    <cfRule type="dataBar" priority="65">
      <dataBar>
        <cfvo type="min"/>
        <cfvo type="max"/>
        <color rgb="FF156082"/>
      </dataBar>
    </cfRule>
  </conditionalFormatting>
  <conditionalFormatting sqref="J2:J37">
    <cfRule type="dataBar" priority="1">
      <dataBar>
        <cfvo type="min"/>
        <cfvo type="max"/>
        <color rgb="FFFFB628"/>
      </dataBar>
      <extLst>
        <ext xmlns:x14="http://schemas.microsoft.com/office/spreadsheetml/2009/9/main" uri="{B025F937-C7B1-47D3-B67F-A62EFF666E3E}">
          <x14:id>{00000000-000E-0000-0700-000008000000}</x14:id>
        </ext>
      </extLst>
    </cfRule>
    <cfRule type="dataBar" priority="67">
      <dataBar>
        <cfvo type="min"/>
        <cfvo type="max"/>
        <color rgb="FF156082"/>
      </dataBar>
    </cfRule>
  </conditionalFormatting>
  <conditionalFormatting sqref="M2:O37">
    <cfRule type="dataBar" priority="68">
      <dataBar>
        <cfvo type="min"/>
        <cfvo type="max"/>
        <color rgb="FFFFB628"/>
      </dataBar>
    </cfRule>
    <cfRule type="dataBar" priority="69">
      <dataBar>
        <cfvo type="min"/>
        <cfvo type="max"/>
        <color rgb="FF008AEF"/>
      </dataBar>
    </cfRule>
  </conditionalFormatting>
  <conditionalFormatting sqref="P2:R37">
    <cfRule type="dataBar" priority="70">
      <dataBar>
        <cfvo type="min"/>
        <cfvo type="max"/>
        <color rgb="FF63C384"/>
      </dataBar>
    </cfRule>
  </conditionalFormatting>
  <conditionalFormatting sqref="S2:U37">
    <cfRule type="dataBar" priority="71">
      <dataBar>
        <cfvo type="min"/>
        <cfvo type="max"/>
        <color rgb="FF638EC6"/>
      </dataBar>
    </cfRule>
  </conditionalFormatting>
  <conditionalFormatting sqref="V1:X1">
    <cfRule type="dataBar" priority="8">
      <dataBar>
        <cfvo type="min"/>
        <cfvo type="max"/>
        <color rgb="FFFFB628"/>
      </dataBar>
    </cfRule>
    <cfRule type="dataBar" priority="9">
      <dataBar>
        <cfvo type="min"/>
        <cfvo type="max"/>
        <color rgb="FFFFB628"/>
      </dataBar>
    </cfRule>
  </conditionalFormatting>
  <conditionalFormatting sqref="V2:X37">
    <cfRule type="colorScale" priority="72">
      <colorScale>
        <cfvo type="min"/>
        <cfvo type="percentile" val="50"/>
        <cfvo type="max"/>
        <color rgb="FFF8696B"/>
        <color rgb="FFFCFCFF"/>
        <color rgb="FF5A8AC6"/>
      </colorScale>
    </cfRule>
  </conditionalFormatting>
  <conditionalFormatting sqref="Y2:AA37">
    <cfRule type="dataBar" priority="73">
      <dataBar>
        <cfvo type="min"/>
        <cfvo type="max"/>
        <color rgb="FFD6007B"/>
      </dataBar>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0000000-000E-0000-0700-00000A000000}">
            <x14:dataBar border="1" negativeBarColorSameAsPositive="1" negativeBarBorderColorSameAsPositive="0" axisPosition="none">
              <x14:cfvo type="min"/>
              <x14:cfvo type="max"/>
              <x14:borderColor rgb="FFFFB628"/>
              <x14:negativeBorderColor rgb="FFFFB628"/>
            </x14:dataBar>
          </x14:cfRule>
          <xm:sqref>D2:D37</xm:sqref>
        </x14:conditionalFormatting>
        <x14:conditionalFormatting xmlns:xm="http://schemas.microsoft.com/office/excel/2006/main">
          <x14:cfRule type="dataBar" id="{00000000-000E-0000-0700-000009000000}">
            <x14:dataBar border="1" negativeBarColorSameAsPositive="1" negativeBarBorderColorSameAsPositive="0" axisPosition="none">
              <x14:cfvo type="min"/>
              <x14:cfvo type="max"/>
              <x14:borderColor rgb="FFFFB628"/>
              <x14:negativeBorderColor rgb="FFFFB628"/>
            </x14:dataBar>
          </x14:cfRule>
          <xm:sqref>G2:G37</xm:sqref>
        </x14:conditionalFormatting>
        <x14:conditionalFormatting xmlns:xm="http://schemas.microsoft.com/office/excel/2006/main">
          <x14:cfRule type="dataBar" id="{00000000-000E-0000-0700-000008000000}">
            <x14:dataBar border="1" negativeBarColorSameAsPositive="1" negativeBarBorderColorSameAsPositive="0" axisPosition="none">
              <x14:cfvo type="min"/>
              <x14:cfvo type="max"/>
              <x14:borderColor rgb="FFFFB628"/>
              <x14:negativeBorderColor rgb="FFFFB628"/>
            </x14:dataBar>
          </x14:cfRule>
          <xm:sqref>J2:J37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499984740745262"/>
  </sheetPr>
  <dimension ref="A1:B10"/>
  <sheetViews>
    <sheetView workbookViewId="0">
      <selection activeCell="B20" sqref="B20"/>
    </sheetView>
  </sheetViews>
  <sheetFormatPr defaultRowHeight="12.75"/>
  <cols>
    <col min="1" max="1" width="26" style="6" customWidth="1"/>
    <col min="2" max="2" width="110" style="6" customWidth="1"/>
    <col min="3" max="7" width="9" style="6" customWidth="1"/>
    <col min="8" max="16384" width="9" style="6"/>
  </cols>
  <sheetData>
    <row r="1" spans="1:2" ht="36" customHeight="1">
      <c r="A1" s="83" t="s">
        <v>127</v>
      </c>
      <c r="B1" s="84"/>
    </row>
    <row r="2" spans="1:2">
      <c r="A2" s="7" t="s">
        <v>128</v>
      </c>
      <c r="B2" s="8" t="s">
        <v>129</v>
      </c>
    </row>
    <row r="3" spans="1:2">
      <c r="A3" s="7" t="s">
        <v>130</v>
      </c>
      <c r="B3" s="8" t="s">
        <v>131</v>
      </c>
    </row>
    <row r="4" spans="1:2" ht="25.5" customHeight="1">
      <c r="A4" s="7" t="s">
        <v>132</v>
      </c>
      <c r="B4" s="8" t="s">
        <v>133</v>
      </c>
    </row>
    <row r="5" spans="1:2" ht="25.5" customHeight="1">
      <c r="A5" s="7" t="s">
        <v>134</v>
      </c>
      <c r="B5" s="8" t="s">
        <v>135</v>
      </c>
    </row>
    <row r="6" spans="1:2">
      <c r="A6" s="7" t="s">
        <v>136</v>
      </c>
      <c r="B6" s="8" t="s">
        <v>137</v>
      </c>
    </row>
    <row r="7" spans="1:2" ht="25.5" customHeight="1">
      <c r="A7" s="7" t="s">
        <v>138</v>
      </c>
      <c r="B7" s="8" t="s">
        <v>139</v>
      </c>
    </row>
    <row r="8" spans="1:2" ht="25.5" customHeight="1">
      <c r="A8" s="7" t="s">
        <v>140</v>
      </c>
      <c r="B8" s="8" t="s">
        <v>141</v>
      </c>
    </row>
    <row r="9" spans="1:2">
      <c r="A9" s="7" t="s">
        <v>142</v>
      </c>
      <c r="B9" s="8" t="s">
        <v>143</v>
      </c>
    </row>
    <row r="10" spans="1:2" ht="14.25">
      <c r="A10" t="s">
        <v>144</v>
      </c>
      <c r="B10" t="s">
        <v>145</v>
      </c>
    </row>
  </sheetData>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tint="0.499984740745262"/>
  </sheetPr>
  <dimension ref="A1:B17"/>
  <sheetViews>
    <sheetView workbookViewId="0">
      <selection sqref="A1:XFD1048576"/>
    </sheetView>
  </sheetViews>
  <sheetFormatPr defaultRowHeight="12.75"/>
  <cols>
    <col min="1" max="1" width="30" style="6" customWidth="1"/>
    <col min="2" max="2" width="120" style="6" customWidth="1"/>
    <col min="3" max="7" width="9" style="6" customWidth="1"/>
    <col min="8" max="16384" width="9" style="6"/>
  </cols>
  <sheetData>
    <row r="1" spans="1:2">
      <c r="A1" s="9" t="s">
        <v>146</v>
      </c>
      <c r="B1" s="9" t="s">
        <v>147</v>
      </c>
    </row>
    <row r="2" spans="1:2">
      <c r="A2" s="10" t="s">
        <v>148</v>
      </c>
      <c r="B2" s="11" t="s">
        <v>149</v>
      </c>
    </row>
    <row r="3" spans="1:2">
      <c r="A3" s="10" t="s">
        <v>150</v>
      </c>
      <c r="B3" s="11" t="s">
        <v>151</v>
      </c>
    </row>
    <row r="4" spans="1:2">
      <c r="A4" s="10" t="s">
        <v>152</v>
      </c>
      <c r="B4" s="11" t="s">
        <v>153</v>
      </c>
    </row>
    <row r="5" spans="1:2">
      <c r="A5" s="10" t="s">
        <v>154</v>
      </c>
      <c r="B5" s="11" t="s">
        <v>111</v>
      </c>
    </row>
    <row r="6" spans="1:2">
      <c r="A6" s="10" t="s">
        <v>155</v>
      </c>
      <c r="B6" s="11" t="s">
        <v>113</v>
      </c>
    </row>
    <row r="7" spans="1:2">
      <c r="A7" s="10" t="s">
        <v>156</v>
      </c>
      <c r="B7" s="11" t="s">
        <v>157</v>
      </c>
    </row>
    <row r="8" spans="1:2">
      <c r="A8" s="10" t="s">
        <v>158</v>
      </c>
      <c r="B8" s="11" t="s">
        <v>159</v>
      </c>
    </row>
    <row r="9" spans="1:2">
      <c r="A9" s="10" t="s">
        <v>160</v>
      </c>
      <c r="B9" s="11" t="s">
        <v>161</v>
      </c>
    </row>
    <row r="10" spans="1:2">
      <c r="A10" s="10" t="s">
        <v>162</v>
      </c>
      <c r="B10" s="11" t="s">
        <v>163</v>
      </c>
    </row>
    <row r="11" spans="1:2">
      <c r="A11" s="10" t="s">
        <v>164</v>
      </c>
      <c r="B11" s="11" t="s">
        <v>165</v>
      </c>
    </row>
    <row r="12" spans="1:2">
      <c r="A12" s="10" t="s">
        <v>166</v>
      </c>
      <c r="B12" s="11" t="s">
        <v>167</v>
      </c>
    </row>
    <row r="13" spans="1:2">
      <c r="A13" s="10" t="s">
        <v>168</v>
      </c>
      <c r="B13" s="11" t="s">
        <v>169</v>
      </c>
    </row>
    <row r="14" spans="1:2" ht="25.5" customHeight="1">
      <c r="A14" s="10" t="s">
        <v>170</v>
      </c>
      <c r="B14" s="11" t="s">
        <v>171</v>
      </c>
    </row>
    <row r="15" spans="1:2" ht="38.25" customHeight="1">
      <c r="A15" s="10" t="s">
        <v>172</v>
      </c>
      <c r="B15" s="11" t="s">
        <v>173</v>
      </c>
    </row>
    <row r="16" spans="1:2" ht="14.25" customHeight="1">
      <c r="A16" t="s">
        <v>174</v>
      </c>
      <c r="B16">
        <v>147</v>
      </c>
    </row>
    <row r="17" spans="1:2" ht="14.25" customHeight="1">
      <c r="A17" t="s">
        <v>175</v>
      </c>
      <c r="B17" t="s">
        <v>176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499984740745262"/>
  </sheetPr>
  <dimension ref="A1:D16"/>
  <sheetViews>
    <sheetView workbookViewId="0">
      <selection activeCell="C25" sqref="C25"/>
    </sheetView>
  </sheetViews>
  <sheetFormatPr defaultColWidth="69.875" defaultRowHeight="12"/>
  <cols>
    <col min="1" max="1" width="11.875" style="2" bestFit="1" customWidth="1"/>
    <col min="2" max="2" width="16.875" style="2" bestFit="1" customWidth="1"/>
    <col min="3" max="3" width="73" style="2" bestFit="1" customWidth="1"/>
    <col min="4" max="4" width="33.875" style="2" bestFit="1" customWidth="1"/>
    <col min="5" max="9" width="69.875" style="2" customWidth="1"/>
    <col min="10" max="16384" width="69.875" style="2"/>
  </cols>
  <sheetData>
    <row r="1" spans="1:4">
      <c r="A1" s="5" t="s">
        <v>177</v>
      </c>
      <c r="B1" s="5" t="s">
        <v>178</v>
      </c>
      <c r="C1" s="5" t="s">
        <v>179</v>
      </c>
      <c r="D1" s="5" t="s">
        <v>180</v>
      </c>
    </row>
    <row r="2" spans="1:4">
      <c r="A2" s="12" t="s">
        <v>181</v>
      </c>
      <c r="B2" s="12" t="s">
        <v>182</v>
      </c>
      <c r="C2" s="12" t="s">
        <v>183</v>
      </c>
      <c r="D2" s="12" t="s">
        <v>184</v>
      </c>
    </row>
    <row r="3" spans="1:4">
      <c r="A3" s="12" t="s">
        <v>181</v>
      </c>
      <c r="B3" s="12" t="s">
        <v>185</v>
      </c>
      <c r="C3" s="12" t="s">
        <v>186</v>
      </c>
      <c r="D3" s="12" t="s">
        <v>184</v>
      </c>
    </row>
    <row r="4" spans="1:4">
      <c r="A4" s="12" t="s">
        <v>181</v>
      </c>
      <c r="B4" s="12" t="s">
        <v>187</v>
      </c>
      <c r="C4" s="12" t="s">
        <v>188</v>
      </c>
      <c r="D4" s="12" t="s">
        <v>184</v>
      </c>
    </row>
    <row r="5" spans="1:4">
      <c r="A5" s="12" t="s">
        <v>189</v>
      </c>
      <c r="B5" s="12" t="s">
        <v>190</v>
      </c>
      <c r="C5" s="12" t="s">
        <v>191</v>
      </c>
      <c r="D5" s="12" t="s">
        <v>184</v>
      </c>
    </row>
    <row r="6" spans="1:4">
      <c r="A6" s="12" t="s">
        <v>189</v>
      </c>
      <c r="B6" s="12" t="s">
        <v>192</v>
      </c>
      <c r="C6" s="12" t="s">
        <v>193</v>
      </c>
      <c r="D6" s="12" t="s">
        <v>194</v>
      </c>
    </row>
    <row r="7" spans="1:4">
      <c r="A7" s="12" t="s">
        <v>106</v>
      </c>
      <c r="B7" s="12" t="s">
        <v>114</v>
      </c>
      <c r="C7" s="12" t="s">
        <v>195</v>
      </c>
      <c r="D7" s="12" t="s">
        <v>184</v>
      </c>
    </row>
    <row r="8" spans="1:4">
      <c r="A8" s="12" t="s">
        <v>106</v>
      </c>
      <c r="B8" s="12" t="s">
        <v>120</v>
      </c>
      <c r="C8" s="12" t="s">
        <v>196</v>
      </c>
      <c r="D8" s="12" t="s">
        <v>184</v>
      </c>
    </row>
    <row r="9" spans="1:4">
      <c r="A9" s="12" t="s">
        <v>106</v>
      </c>
      <c r="B9" s="12" t="s">
        <v>121</v>
      </c>
      <c r="C9" s="12" t="s">
        <v>197</v>
      </c>
      <c r="D9" s="12" t="s">
        <v>184</v>
      </c>
    </row>
    <row r="10" spans="1:4">
      <c r="A10" s="12" t="s">
        <v>104</v>
      </c>
      <c r="B10" s="12" t="s">
        <v>124</v>
      </c>
      <c r="C10" s="12" t="s">
        <v>198</v>
      </c>
      <c r="D10" s="12" t="s">
        <v>184</v>
      </c>
    </row>
    <row r="11" spans="1:4">
      <c r="A11" s="12" t="s">
        <v>104</v>
      </c>
      <c r="B11" s="12" t="s">
        <v>112</v>
      </c>
      <c r="C11" s="12" t="s">
        <v>199</v>
      </c>
      <c r="D11" s="12" t="s">
        <v>184</v>
      </c>
    </row>
    <row r="12" spans="1:4">
      <c r="A12" s="12" t="s">
        <v>105</v>
      </c>
      <c r="B12" s="12" t="s">
        <v>200</v>
      </c>
      <c r="C12" s="12" t="s">
        <v>201</v>
      </c>
      <c r="D12" s="12" t="s">
        <v>184</v>
      </c>
    </row>
    <row r="13" spans="1:4">
      <c r="A13" s="12" t="s">
        <v>202</v>
      </c>
      <c r="B13" s="12" t="s">
        <v>203</v>
      </c>
      <c r="C13" s="12" t="s">
        <v>204</v>
      </c>
      <c r="D13" s="12" t="s">
        <v>184</v>
      </c>
    </row>
    <row r="14" spans="1:4">
      <c r="A14" s="12" t="s">
        <v>202</v>
      </c>
      <c r="B14" s="12" t="s">
        <v>205</v>
      </c>
      <c r="C14" s="12" t="s">
        <v>206</v>
      </c>
      <c r="D14" s="12" t="s">
        <v>207</v>
      </c>
    </row>
    <row r="15" spans="1:4">
      <c r="A15" s="12" t="s">
        <v>208</v>
      </c>
      <c r="B15" s="12" t="s">
        <v>209</v>
      </c>
      <c r="C15" s="12" t="s">
        <v>210</v>
      </c>
      <c r="D15" s="12" t="s">
        <v>184</v>
      </c>
    </row>
    <row r="16" spans="1:4">
      <c r="A16" s="12" t="s">
        <v>208</v>
      </c>
      <c r="B16" s="12" t="s">
        <v>211</v>
      </c>
      <c r="C16" s="12" t="s">
        <v>212</v>
      </c>
      <c r="D16" s="12" t="s">
        <v>213</v>
      </c>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1"/>
  <sheetViews>
    <sheetView workbookViewId="0"/>
  </sheetViews>
  <sheetFormatPr defaultRowHeight="14.25"/>
  <sheetData>
    <row r="1" spans="1:2">
      <c r="A1" t="s">
        <v>214</v>
      </c>
      <c r="B1" t="s">
        <v>147</v>
      </c>
    </row>
    <row r="2" spans="1:2">
      <c r="A2" t="s">
        <v>215</v>
      </c>
      <c r="B2" t="s">
        <v>216</v>
      </c>
    </row>
    <row r="3" spans="1:2">
      <c r="A3" t="s">
        <v>217</v>
      </c>
      <c r="B3" t="s">
        <v>218</v>
      </c>
    </row>
    <row r="4" spans="1:2">
      <c r="A4" t="s">
        <v>219</v>
      </c>
      <c r="B4" t="s">
        <v>220</v>
      </c>
    </row>
    <row r="5" spans="1:2">
      <c r="A5" t="s">
        <v>221</v>
      </c>
      <c r="B5" t="s">
        <v>222</v>
      </c>
    </row>
    <row r="6" spans="1:2">
      <c r="A6" t="s">
        <v>223</v>
      </c>
      <c r="B6" t="s">
        <v>224</v>
      </c>
    </row>
    <row r="7" spans="1:2">
      <c r="A7" t="s">
        <v>225</v>
      </c>
      <c r="B7" t="s">
        <v>226</v>
      </c>
    </row>
    <row r="8" spans="1:2">
      <c r="A8" t="s">
        <v>155</v>
      </c>
      <c r="B8" t="s">
        <v>113</v>
      </c>
    </row>
    <row r="9" spans="1:2">
      <c r="A9" t="s">
        <v>227</v>
      </c>
      <c r="B9" t="s">
        <v>228</v>
      </c>
    </row>
    <row r="10" spans="1:2">
      <c r="A10" t="s">
        <v>229</v>
      </c>
      <c r="B10" t="s">
        <v>230</v>
      </c>
    </row>
    <row r="11" spans="1:2">
      <c r="A11" t="s">
        <v>231</v>
      </c>
      <c r="B11" t="s">
        <v>232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2"/>
  <sheetViews>
    <sheetView workbookViewId="0"/>
  </sheetViews>
  <sheetFormatPr defaultRowHeight="14.25"/>
  <sheetData>
    <row r="1" spans="1:15">
      <c r="A1" t="s">
        <v>233</v>
      </c>
      <c r="B1" t="s">
        <v>234</v>
      </c>
      <c r="C1" t="s">
        <v>235</v>
      </c>
      <c r="D1" t="s">
        <v>236</v>
      </c>
      <c r="E1" t="s">
        <v>237</v>
      </c>
      <c r="F1" t="s">
        <v>238</v>
      </c>
      <c r="G1" t="s">
        <v>239</v>
      </c>
      <c r="H1" t="s">
        <v>240</v>
      </c>
      <c r="I1" t="s">
        <v>241</v>
      </c>
      <c r="J1" t="s">
        <v>242</v>
      </c>
      <c r="K1" t="s">
        <v>243</v>
      </c>
      <c r="L1" t="s">
        <v>244</v>
      </c>
      <c r="M1" t="s">
        <v>245</v>
      </c>
      <c r="N1" t="s">
        <v>246</v>
      </c>
      <c r="O1" t="s">
        <v>247</v>
      </c>
    </row>
    <row r="2" spans="1:15">
      <c r="A2" t="s">
        <v>248</v>
      </c>
      <c r="B2" t="s">
        <v>111</v>
      </c>
      <c r="C2" t="s">
        <v>249</v>
      </c>
      <c r="D2" t="s">
        <v>250</v>
      </c>
      <c r="E2">
        <v>0</v>
      </c>
      <c r="F2">
        <v>48</v>
      </c>
      <c r="G2">
        <v>76</v>
      </c>
      <c r="H2">
        <v>50</v>
      </c>
      <c r="I2">
        <v>69</v>
      </c>
      <c r="J2" t="s">
        <v>251</v>
      </c>
      <c r="K2" t="s">
        <v>252</v>
      </c>
      <c r="L2" t="s">
        <v>253</v>
      </c>
      <c r="M2" t="s">
        <v>254</v>
      </c>
      <c r="N2" t="s">
        <v>255</v>
      </c>
      <c r="O2" t="s">
        <v>248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148"/>
  <sheetViews>
    <sheetView workbookViewId="0"/>
  </sheetViews>
  <sheetFormatPr defaultRowHeight="14.25"/>
  <sheetData>
    <row r="1" spans="1:19">
      <c r="A1" t="s">
        <v>233</v>
      </c>
      <c r="B1" t="s">
        <v>256</v>
      </c>
      <c r="C1" t="s">
        <v>257</v>
      </c>
      <c r="D1" t="s">
        <v>258</v>
      </c>
      <c r="E1" t="s">
        <v>147</v>
      </c>
      <c r="F1" t="s">
        <v>259</v>
      </c>
      <c r="G1" t="s">
        <v>260</v>
      </c>
      <c r="H1" t="s">
        <v>261</v>
      </c>
      <c r="I1" t="s">
        <v>262</v>
      </c>
      <c r="J1" t="s">
        <v>263</v>
      </c>
      <c r="K1" t="s">
        <v>264</v>
      </c>
      <c r="L1" t="s">
        <v>265</v>
      </c>
      <c r="M1" t="s">
        <v>266</v>
      </c>
      <c r="N1" t="s">
        <v>244</v>
      </c>
      <c r="O1" t="s">
        <v>267</v>
      </c>
      <c r="P1" t="s">
        <v>268</v>
      </c>
      <c r="Q1" t="s">
        <v>269</v>
      </c>
      <c r="R1" t="s">
        <v>270</v>
      </c>
      <c r="S1" t="s">
        <v>271</v>
      </c>
    </row>
    <row r="2" spans="1:19">
      <c r="A2" t="s">
        <v>248</v>
      </c>
      <c r="B2" t="s">
        <v>26</v>
      </c>
      <c r="C2">
        <v>48</v>
      </c>
      <c r="D2" t="s">
        <v>114</v>
      </c>
      <c r="E2">
        <v>30.415039360526201</v>
      </c>
      <c r="F2" t="s">
        <v>272</v>
      </c>
      <c r="G2" t="s">
        <v>273</v>
      </c>
      <c r="H2" t="s">
        <v>274</v>
      </c>
      <c r="I2" t="s">
        <v>275</v>
      </c>
      <c r="J2" t="s">
        <v>149</v>
      </c>
      <c r="K2" t="s">
        <v>276</v>
      </c>
      <c r="M2" t="s">
        <v>277</v>
      </c>
      <c r="N2" t="s">
        <v>253</v>
      </c>
      <c r="O2" t="s">
        <v>278</v>
      </c>
      <c r="P2" t="s">
        <v>279</v>
      </c>
    </row>
    <row r="3" spans="1:19">
      <c r="A3" t="s">
        <v>248</v>
      </c>
      <c r="B3" t="s">
        <v>280</v>
      </c>
      <c r="C3">
        <v>49</v>
      </c>
      <c r="D3" t="s">
        <v>114</v>
      </c>
      <c r="E3">
        <v>29.007072960566362</v>
      </c>
      <c r="F3" t="s">
        <v>272</v>
      </c>
      <c r="G3" t="s">
        <v>273</v>
      </c>
      <c r="H3" t="s">
        <v>274</v>
      </c>
      <c r="I3" t="s">
        <v>275</v>
      </c>
      <c r="J3" t="s">
        <v>149</v>
      </c>
      <c r="K3" t="s">
        <v>276</v>
      </c>
      <c r="M3" t="s">
        <v>277</v>
      </c>
      <c r="N3" t="s">
        <v>253</v>
      </c>
      <c r="O3" t="s">
        <v>278</v>
      </c>
      <c r="P3" t="s">
        <v>279</v>
      </c>
    </row>
    <row r="4" spans="1:19">
      <c r="A4" t="s">
        <v>248</v>
      </c>
      <c r="B4" t="s">
        <v>27</v>
      </c>
      <c r="C4">
        <v>50</v>
      </c>
      <c r="D4" t="s">
        <v>114</v>
      </c>
      <c r="E4">
        <v>30.10189148880059</v>
      </c>
      <c r="F4" t="s">
        <v>272</v>
      </c>
      <c r="G4" t="s">
        <v>273</v>
      </c>
      <c r="H4" t="s">
        <v>274</v>
      </c>
      <c r="I4" t="s">
        <v>275</v>
      </c>
      <c r="J4" t="s">
        <v>149</v>
      </c>
      <c r="K4" t="s">
        <v>276</v>
      </c>
      <c r="M4" t="s">
        <v>277</v>
      </c>
      <c r="N4" t="s">
        <v>253</v>
      </c>
      <c r="O4" t="s">
        <v>278</v>
      </c>
      <c r="P4" t="s">
        <v>279</v>
      </c>
    </row>
    <row r="5" spans="1:19">
      <c r="A5" t="s">
        <v>248</v>
      </c>
      <c r="B5" t="s">
        <v>281</v>
      </c>
      <c r="C5">
        <v>51</v>
      </c>
      <c r="D5" t="s">
        <v>114</v>
      </c>
      <c r="E5">
        <v>28.210105523810569</v>
      </c>
      <c r="F5" t="s">
        <v>272</v>
      </c>
      <c r="G5" t="s">
        <v>273</v>
      </c>
      <c r="H5" t="s">
        <v>274</v>
      </c>
      <c r="I5" t="s">
        <v>275</v>
      </c>
      <c r="J5" t="s">
        <v>149</v>
      </c>
      <c r="K5" t="s">
        <v>276</v>
      </c>
      <c r="M5" t="s">
        <v>277</v>
      </c>
      <c r="N5" t="s">
        <v>253</v>
      </c>
      <c r="O5" t="s">
        <v>278</v>
      </c>
      <c r="P5" t="s">
        <v>279</v>
      </c>
    </row>
    <row r="6" spans="1:19">
      <c r="A6" t="s">
        <v>248</v>
      </c>
      <c r="B6" t="s">
        <v>28</v>
      </c>
      <c r="C6">
        <v>52</v>
      </c>
      <c r="D6" t="s">
        <v>114</v>
      </c>
      <c r="E6">
        <v>26.076671672934928</v>
      </c>
      <c r="F6" t="s">
        <v>272</v>
      </c>
      <c r="G6" t="s">
        <v>273</v>
      </c>
      <c r="H6" t="s">
        <v>274</v>
      </c>
      <c r="I6" t="s">
        <v>275</v>
      </c>
      <c r="J6" t="s">
        <v>149</v>
      </c>
      <c r="K6" t="s">
        <v>276</v>
      </c>
      <c r="M6" t="s">
        <v>277</v>
      </c>
      <c r="N6" t="s">
        <v>253</v>
      </c>
      <c r="O6" t="s">
        <v>278</v>
      </c>
      <c r="P6" t="s">
        <v>279</v>
      </c>
    </row>
    <row r="7" spans="1:19">
      <c r="A7" t="s">
        <v>248</v>
      </c>
      <c r="B7" t="s">
        <v>29</v>
      </c>
      <c r="C7">
        <v>53</v>
      </c>
      <c r="D7" t="s">
        <v>114</v>
      </c>
      <c r="E7">
        <v>19.91455306970127</v>
      </c>
      <c r="F7" t="s">
        <v>272</v>
      </c>
      <c r="G7" t="s">
        <v>273</v>
      </c>
      <c r="H7" t="s">
        <v>274</v>
      </c>
      <c r="I7" t="s">
        <v>275</v>
      </c>
      <c r="J7" t="s">
        <v>149</v>
      </c>
      <c r="K7" t="s">
        <v>276</v>
      </c>
      <c r="M7" t="s">
        <v>277</v>
      </c>
      <c r="N7" t="s">
        <v>253</v>
      </c>
      <c r="O7" t="s">
        <v>278</v>
      </c>
      <c r="P7" t="s">
        <v>279</v>
      </c>
    </row>
    <row r="8" spans="1:19">
      <c r="A8" t="s">
        <v>248</v>
      </c>
      <c r="B8" t="s">
        <v>282</v>
      </c>
      <c r="C8">
        <v>54</v>
      </c>
      <c r="D8" t="s">
        <v>114</v>
      </c>
      <c r="E8">
        <v>24.350117785373129</v>
      </c>
      <c r="F8" t="s">
        <v>272</v>
      </c>
      <c r="G8" t="s">
        <v>273</v>
      </c>
      <c r="H8" t="s">
        <v>274</v>
      </c>
      <c r="I8" t="s">
        <v>275</v>
      </c>
      <c r="J8" t="s">
        <v>149</v>
      </c>
      <c r="K8" t="s">
        <v>276</v>
      </c>
      <c r="M8" t="s">
        <v>277</v>
      </c>
      <c r="N8" t="s">
        <v>253</v>
      </c>
      <c r="O8" t="s">
        <v>278</v>
      </c>
      <c r="P8" t="s">
        <v>279</v>
      </c>
    </row>
    <row r="9" spans="1:19">
      <c r="A9" t="s">
        <v>248</v>
      </c>
      <c r="B9" t="s">
        <v>30</v>
      </c>
      <c r="C9">
        <v>55</v>
      </c>
      <c r="D9" t="s">
        <v>114</v>
      </c>
      <c r="E9">
        <v>30.897549690044048</v>
      </c>
      <c r="F9" t="s">
        <v>272</v>
      </c>
      <c r="G9" t="s">
        <v>273</v>
      </c>
      <c r="H9" t="s">
        <v>274</v>
      </c>
      <c r="I9" t="s">
        <v>275</v>
      </c>
      <c r="J9" t="s">
        <v>149</v>
      </c>
      <c r="K9" t="s">
        <v>276</v>
      </c>
      <c r="M9" t="s">
        <v>277</v>
      </c>
      <c r="N9" t="s">
        <v>253</v>
      </c>
      <c r="O9" t="s">
        <v>278</v>
      </c>
      <c r="P9" t="s">
        <v>279</v>
      </c>
    </row>
    <row r="10" spans="1:19">
      <c r="A10" t="s">
        <v>248</v>
      </c>
      <c r="B10" t="s">
        <v>283</v>
      </c>
      <c r="C10">
        <v>56</v>
      </c>
      <c r="D10" t="s">
        <v>114</v>
      </c>
      <c r="E10">
        <v>23.805917534043779</v>
      </c>
      <c r="F10" t="s">
        <v>272</v>
      </c>
      <c r="G10" t="s">
        <v>273</v>
      </c>
      <c r="H10" t="s">
        <v>274</v>
      </c>
      <c r="I10" t="s">
        <v>275</v>
      </c>
      <c r="J10" t="s">
        <v>149</v>
      </c>
      <c r="K10" t="s">
        <v>276</v>
      </c>
      <c r="M10" t="s">
        <v>277</v>
      </c>
      <c r="N10" t="s">
        <v>253</v>
      </c>
      <c r="O10" t="s">
        <v>278</v>
      </c>
      <c r="P10" t="s">
        <v>279</v>
      </c>
    </row>
    <row r="11" spans="1:19">
      <c r="A11" t="s">
        <v>248</v>
      </c>
      <c r="B11" t="s">
        <v>31</v>
      </c>
      <c r="C11">
        <v>57</v>
      </c>
      <c r="D11" t="s">
        <v>114</v>
      </c>
      <c r="E11">
        <v>19.759045114930451</v>
      </c>
      <c r="F11" t="s">
        <v>272</v>
      </c>
      <c r="G11" t="s">
        <v>273</v>
      </c>
      <c r="H11" t="s">
        <v>274</v>
      </c>
      <c r="I11" t="s">
        <v>275</v>
      </c>
      <c r="J11" t="s">
        <v>149</v>
      </c>
      <c r="K11" t="s">
        <v>276</v>
      </c>
      <c r="M11" t="s">
        <v>277</v>
      </c>
      <c r="N11" t="s">
        <v>253</v>
      </c>
      <c r="O11" t="s">
        <v>278</v>
      </c>
      <c r="P11" t="s">
        <v>279</v>
      </c>
    </row>
    <row r="12" spans="1:19">
      <c r="A12" t="s">
        <v>248</v>
      </c>
      <c r="B12" t="s">
        <v>284</v>
      </c>
      <c r="C12">
        <v>58</v>
      </c>
      <c r="D12" t="s">
        <v>114</v>
      </c>
      <c r="E12">
        <v>22.348198509838529</v>
      </c>
      <c r="F12" t="s">
        <v>272</v>
      </c>
      <c r="G12" t="s">
        <v>273</v>
      </c>
      <c r="H12" t="s">
        <v>274</v>
      </c>
      <c r="I12" t="s">
        <v>275</v>
      </c>
      <c r="J12" t="s">
        <v>149</v>
      </c>
      <c r="K12" t="s">
        <v>276</v>
      </c>
      <c r="M12" t="s">
        <v>277</v>
      </c>
      <c r="N12" t="s">
        <v>253</v>
      </c>
      <c r="O12" t="s">
        <v>278</v>
      </c>
      <c r="P12" t="s">
        <v>279</v>
      </c>
    </row>
    <row r="13" spans="1:19">
      <c r="A13" t="s">
        <v>248</v>
      </c>
      <c r="B13" t="s">
        <v>32</v>
      </c>
      <c r="C13">
        <v>59</v>
      </c>
      <c r="D13" t="s">
        <v>114</v>
      </c>
      <c r="E13">
        <v>22.101796505655241</v>
      </c>
      <c r="F13" t="s">
        <v>272</v>
      </c>
      <c r="G13" t="s">
        <v>273</v>
      </c>
      <c r="H13" t="s">
        <v>274</v>
      </c>
      <c r="I13" t="s">
        <v>275</v>
      </c>
      <c r="J13" t="s">
        <v>149</v>
      </c>
      <c r="K13" t="s">
        <v>276</v>
      </c>
      <c r="M13" t="s">
        <v>277</v>
      </c>
      <c r="N13" t="s">
        <v>253</v>
      </c>
      <c r="O13" t="s">
        <v>278</v>
      </c>
      <c r="P13" t="s">
        <v>279</v>
      </c>
    </row>
    <row r="14" spans="1:19">
      <c r="A14" t="s">
        <v>248</v>
      </c>
      <c r="B14" t="s">
        <v>33</v>
      </c>
      <c r="C14">
        <v>60</v>
      </c>
      <c r="D14" t="s">
        <v>114</v>
      </c>
      <c r="E14">
        <v>24.660956164985969</v>
      </c>
      <c r="F14" t="s">
        <v>272</v>
      </c>
      <c r="G14" t="s">
        <v>273</v>
      </c>
      <c r="H14" t="s">
        <v>274</v>
      </c>
      <c r="I14" t="s">
        <v>275</v>
      </c>
      <c r="J14" t="s">
        <v>149</v>
      </c>
      <c r="K14" t="s">
        <v>276</v>
      </c>
      <c r="M14" t="s">
        <v>277</v>
      </c>
      <c r="N14" t="s">
        <v>253</v>
      </c>
      <c r="O14" t="s">
        <v>278</v>
      </c>
      <c r="P14" t="s">
        <v>279</v>
      </c>
    </row>
    <row r="15" spans="1:19">
      <c r="A15" t="s">
        <v>248</v>
      </c>
      <c r="B15" t="s">
        <v>285</v>
      </c>
      <c r="C15">
        <v>61</v>
      </c>
      <c r="D15" t="s">
        <v>114</v>
      </c>
      <c r="E15">
        <v>21.702578031877991</v>
      </c>
      <c r="F15" t="s">
        <v>272</v>
      </c>
      <c r="G15" t="s">
        <v>273</v>
      </c>
      <c r="H15" t="s">
        <v>274</v>
      </c>
      <c r="I15" t="s">
        <v>275</v>
      </c>
      <c r="J15" t="s">
        <v>149</v>
      </c>
      <c r="K15" t="s">
        <v>276</v>
      </c>
      <c r="M15" t="s">
        <v>277</v>
      </c>
      <c r="N15" t="s">
        <v>253</v>
      </c>
      <c r="O15" t="s">
        <v>278</v>
      </c>
      <c r="P15" t="s">
        <v>279</v>
      </c>
    </row>
    <row r="16" spans="1:19">
      <c r="A16" t="s">
        <v>248</v>
      </c>
      <c r="B16" t="s">
        <v>34</v>
      </c>
      <c r="C16">
        <v>62</v>
      </c>
      <c r="D16" t="s">
        <v>114</v>
      </c>
      <c r="E16">
        <v>23.391666652955429</v>
      </c>
      <c r="F16" t="s">
        <v>272</v>
      </c>
      <c r="G16" t="s">
        <v>273</v>
      </c>
      <c r="H16" t="s">
        <v>274</v>
      </c>
      <c r="I16" t="s">
        <v>275</v>
      </c>
      <c r="J16" t="s">
        <v>149</v>
      </c>
      <c r="K16" t="s">
        <v>276</v>
      </c>
      <c r="M16" t="s">
        <v>277</v>
      </c>
      <c r="N16" t="s">
        <v>253</v>
      </c>
      <c r="O16" t="s">
        <v>278</v>
      </c>
      <c r="P16" t="s">
        <v>279</v>
      </c>
    </row>
    <row r="17" spans="1:16">
      <c r="A17" t="s">
        <v>248</v>
      </c>
      <c r="B17" t="s">
        <v>116</v>
      </c>
      <c r="C17">
        <v>63</v>
      </c>
      <c r="D17" t="s">
        <v>114</v>
      </c>
      <c r="E17">
        <v>20.479140441026541</v>
      </c>
      <c r="F17" t="s">
        <v>272</v>
      </c>
      <c r="G17" t="s">
        <v>273</v>
      </c>
      <c r="H17" t="s">
        <v>274</v>
      </c>
      <c r="I17" t="s">
        <v>275</v>
      </c>
      <c r="J17" t="s">
        <v>149</v>
      </c>
      <c r="K17" t="s">
        <v>276</v>
      </c>
      <c r="M17" t="s">
        <v>277</v>
      </c>
      <c r="N17" t="s">
        <v>253</v>
      </c>
      <c r="O17" t="s">
        <v>278</v>
      </c>
      <c r="P17" t="s">
        <v>279</v>
      </c>
    </row>
    <row r="18" spans="1:16">
      <c r="A18" t="s">
        <v>248</v>
      </c>
      <c r="B18" t="s">
        <v>35</v>
      </c>
      <c r="C18">
        <v>64</v>
      </c>
      <c r="D18" t="s">
        <v>114</v>
      </c>
      <c r="E18">
        <v>20.193679903155751</v>
      </c>
      <c r="F18" t="s">
        <v>272</v>
      </c>
      <c r="G18" t="s">
        <v>273</v>
      </c>
      <c r="H18" t="s">
        <v>274</v>
      </c>
      <c r="I18" t="s">
        <v>275</v>
      </c>
      <c r="J18" t="s">
        <v>149</v>
      </c>
      <c r="K18" t="s">
        <v>276</v>
      </c>
      <c r="M18" t="s">
        <v>277</v>
      </c>
      <c r="N18" t="s">
        <v>253</v>
      </c>
      <c r="O18" t="s">
        <v>278</v>
      </c>
      <c r="P18" t="s">
        <v>279</v>
      </c>
    </row>
    <row r="19" spans="1:16">
      <c r="A19" t="s">
        <v>248</v>
      </c>
      <c r="B19" t="s">
        <v>36</v>
      </c>
      <c r="C19">
        <v>65</v>
      </c>
      <c r="D19" t="s">
        <v>114</v>
      </c>
      <c r="E19">
        <v>18.175125275846469</v>
      </c>
      <c r="F19" t="s">
        <v>272</v>
      </c>
      <c r="G19" t="s">
        <v>273</v>
      </c>
      <c r="H19" t="s">
        <v>274</v>
      </c>
      <c r="I19" t="s">
        <v>275</v>
      </c>
      <c r="J19" t="s">
        <v>149</v>
      </c>
      <c r="K19" t="s">
        <v>276</v>
      </c>
      <c r="M19" t="s">
        <v>277</v>
      </c>
      <c r="N19" t="s">
        <v>253</v>
      </c>
      <c r="O19" t="s">
        <v>278</v>
      </c>
      <c r="P19" t="s">
        <v>279</v>
      </c>
    </row>
    <row r="20" spans="1:16">
      <c r="A20" t="s">
        <v>248</v>
      </c>
      <c r="B20" t="s">
        <v>286</v>
      </c>
      <c r="C20">
        <v>66</v>
      </c>
      <c r="D20" t="s">
        <v>114</v>
      </c>
      <c r="E20">
        <v>21.771544411886069</v>
      </c>
      <c r="F20" t="s">
        <v>272</v>
      </c>
      <c r="G20" t="s">
        <v>273</v>
      </c>
      <c r="H20" t="s">
        <v>274</v>
      </c>
      <c r="I20" t="s">
        <v>275</v>
      </c>
      <c r="J20" t="s">
        <v>149</v>
      </c>
      <c r="K20" t="s">
        <v>276</v>
      </c>
      <c r="M20" t="s">
        <v>277</v>
      </c>
      <c r="N20" t="s">
        <v>253</v>
      </c>
      <c r="O20" t="s">
        <v>278</v>
      </c>
      <c r="P20" t="s">
        <v>279</v>
      </c>
    </row>
    <row r="21" spans="1:16">
      <c r="A21" t="s">
        <v>248</v>
      </c>
      <c r="B21" t="s">
        <v>37</v>
      </c>
      <c r="C21">
        <v>67</v>
      </c>
      <c r="D21" t="s">
        <v>114</v>
      </c>
      <c r="E21">
        <v>23.513226426824819</v>
      </c>
      <c r="F21" t="s">
        <v>272</v>
      </c>
      <c r="G21" t="s">
        <v>273</v>
      </c>
      <c r="H21" t="s">
        <v>274</v>
      </c>
      <c r="I21" t="s">
        <v>275</v>
      </c>
      <c r="J21" t="s">
        <v>149</v>
      </c>
      <c r="K21" t="s">
        <v>276</v>
      </c>
      <c r="M21" t="s">
        <v>277</v>
      </c>
      <c r="N21" t="s">
        <v>253</v>
      </c>
      <c r="O21" t="s">
        <v>278</v>
      </c>
      <c r="P21" t="s">
        <v>279</v>
      </c>
    </row>
    <row r="22" spans="1:16">
      <c r="A22" t="s">
        <v>248</v>
      </c>
      <c r="B22" t="s">
        <v>287</v>
      </c>
      <c r="C22">
        <v>68</v>
      </c>
      <c r="D22" t="s">
        <v>114</v>
      </c>
      <c r="E22">
        <v>21.250827098687889</v>
      </c>
      <c r="F22" t="s">
        <v>272</v>
      </c>
      <c r="G22" t="s">
        <v>273</v>
      </c>
      <c r="H22" t="s">
        <v>274</v>
      </c>
      <c r="I22" t="s">
        <v>275</v>
      </c>
      <c r="J22" t="s">
        <v>149</v>
      </c>
      <c r="K22" t="s">
        <v>276</v>
      </c>
      <c r="M22" t="s">
        <v>277</v>
      </c>
      <c r="N22" t="s">
        <v>253</v>
      </c>
      <c r="O22" t="s">
        <v>278</v>
      </c>
      <c r="P22" t="s">
        <v>279</v>
      </c>
    </row>
    <row r="23" spans="1:16">
      <c r="A23" t="s">
        <v>248</v>
      </c>
      <c r="B23" t="s">
        <v>38</v>
      </c>
      <c r="C23">
        <v>69</v>
      </c>
      <c r="D23" t="s">
        <v>114</v>
      </c>
      <c r="E23">
        <v>21.450987929525791</v>
      </c>
      <c r="F23" t="s">
        <v>272</v>
      </c>
      <c r="G23" t="s">
        <v>273</v>
      </c>
      <c r="H23" t="s">
        <v>274</v>
      </c>
      <c r="I23" t="s">
        <v>275</v>
      </c>
      <c r="J23" t="s">
        <v>149</v>
      </c>
      <c r="K23" t="s">
        <v>276</v>
      </c>
      <c r="M23" t="s">
        <v>277</v>
      </c>
      <c r="N23" t="s">
        <v>253</v>
      </c>
      <c r="O23" t="s">
        <v>278</v>
      </c>
      <c r="P23" t="s">
        <v>279</v>
      </c>
    </row>
    <row r="24" spans="1:16">
      <c r="A24" t="s">
        <v>248</v>
      </c>
      <c r="B24" t="s">
        <v>288</v>
      </c>
      <c r="C24">
        <v>70</v>
      </c>
      <c r="D24" t="s">
        <v>114</v>
      </c>
      <c r="E24">
        <v>22.30112044268164</v>
      </c>
      <c r="F24" t="s">
        <v>272</v>
      </c>
      <c r="G24" t="s">
        <v>273</v>
      </c>
      <c r="H24" t="s">
        <v>274</v>
      </c>
      <c r="I24" t="s">
        <v>275</v>
      </c>
      <c r="J24" t="s">
        <v>149</v>
      </c>
      <c r="K24" t="s">
        <v>276</v>
      </c>
      <c r="M24" t="s">
        <v>277</v>
      </c>
      <c r="N24" t="s">
        <v>253</v>
      </c>
      <c r="O24" t="s">
        <v>278</v>
      </c>
      <c r="P24" t="s">
        <v>279</v>
      </c>
    </row>
    <row r="25" spans="1:16">
      <c r="A25" t="s">
        <v>248</v>
      </c>
      <c r="B25" t="s">
        <v>39</v>
      </c>
      <c r="C25">
        <v>71</v>
      </c>
      <c r="D25" t="s">
        <v>114</v>
      </c>
      <c r="E25">
        <v>22.19271252415453</v>
      </c>
      <c r="F25" t="s">
        <v>272</v>
      </c>
      <c r="G25" t="s">
        <v>273</v>
      </c>
      <c r="H25" t="s">
        <v>274</v>
      </c>
      <c r="I25" t="s">
        <v>275</v>
      </c>
      <c r="J25" t="s">
        <v>149</v>
      </c>
      <c r="K25" t="s">
        <v>276</v>
      </c>
      <c r="M25" t="s">
        <v>277</v>
      </c>
      <c r="N25" t="s">
        <v>253</v>
      </c>
      <c r="O25" t="s">
        <v>278</v>
      </c>
      <c r="P25" t="s">
        <v>279</v>
      </c>
    </row>
    <row r="26" spans="1:16">
      <c r="A26" t="s">
        <v>248</v>
      </c>
      <c r="B26" t="s">
        <v>40</v>
      </c>
      <c r="C26">
        <v>72</v>
      </c>
      <c r="D26" t="s">
        <v>114</v>
      </c>
      <c r="E26">
        <v>17.602052278418419</v>
      </c>
      <c r="F26" t="s">
        <v>272</v>
      </c>
      <c r="G26" t="s">
        <v>273</v>
      </c>
      <c r="H26" t="s">
        <v>274</v>
      </c>
      <c r="I26" t="s">
        <v>275</v>
      </c>
      <c r="J26" t="s">
        <v>149</v>
      </c>
      <c r="K26" t="s">
        <v>276</v>
      </c>
      <c r="M26" t="s">
        <v>277</v>
      </c>
      <c r="N26" t="s">
        <v>253</v>
      </c>
      <c r="O26" t="s">
        <v>278</v>
      </c>
      <c r="P26" t="s">
        <v>279</v>
      </c>
    </row>
    <row r="27" spans="1:16">
      <c r="A27" t="s">
        <v>248</v>
      </c>
      <c r="B27" t="s">
        <v>117</v>
      </c>
      <c r="C27">
        <v>73</v>
      </c>
      <c r="D27" t="s">
        <v>114</v>
      </c>
      <c r="E27">
        <v>17.14610412175638</v>
      </c>
      <c r="F27" t="s">
        <v>272</v>
      </c>
      <c r="G27" t="s">
        <v>273</v>
      </c>
      <c r="H27" t="s">
        <v>274</v>
      </c>
      <c r="I27" t="s">
        <v>275</v>
      </c>
      <c r="J27" t="s">
        <v>149</v>
      </c>
      <c r="K27" t="s">
        <v>276</v>
      </c>
      <c r="M27" t="s">
        <v>277</v>
      </c>
      <c r="N27" t="s">
        <v>253</v>
      </c>
      <c r="O27" t="s">
        <v>278</v>
      </c>
      <c r="P27" t="s">
        <v>279</v>
      </c>
    </row>
    <row r="28" spans="1:16">
      <c r="A28" t="s">
        <v>248</v>
      </c>
      <c r="B28" t="s">
        <v>42</v>
      </c>
      <c r="C28">
        <v>74</v>
      </c>
      <c r="D28" t="s">
        <v>114</v>
      </c>
      <c r="E28">
        <v>17.51615060927006</v>
      </c>
      <c r="F28" t="s">
        <v>272</v>
      </c>
      <c r="G28" t="s">
        <v>273</v>
      </c>
      <c r="H28" t="s">
        <v>274</v>
      </c>
      <c r="I28" t="s">
        <v>275</v>
      </c>
      <c r="J28" t="s">
        <v>149</v>
      </c>
      <c r="K28" t="s">
        <v>276</v>
      </c>
      <c r="M28" t="s">
        <v>277</v>
      </c>
      <c r="N28" t="s">
        <v>253</v>
      </c>
      <c r="O28" t="s">
        <v>278</v>
      </c>
      <c r="P28" t="s">
        <v>279</v>
      </c>
    </row>
    <row r="29" spans="1:16">
      <c r="A29" t="s">
        <v>248</v>
      </c>
      <c r="B29" t="s">
        <v>118</v>
      </c>
      <c r="C29">
        <v>75</v>
      </c>
      <c r="D29" t="s">
        <v>114</v>
      </c>
      <c r="E29">
        <v>18.744006166417918</v>
      </c>
      <c r="F29" t="s">
        <v>272</v>
      </c>
      <c r="G29" t="s">
        <v>273</v>
      </c>
      <c r="H29" t="s">
        <v>274</v>
      </c>
      <c r="I29" t="s">
        <v>275</v>
      </c>
      <c r="J29" t="s">
        <v>149</v>
      </c>
      <c r="K29" t="s">
        <v>276</v>
      </c>
      <c r="M29" t="s">
        <v>277</v>
      </c>
      <c r="N29" t="s">
        <v>253</v>
      </c>
      <c r="O29" t="s">
        <v>278</v>
      </c>
      <c r="P29" t="s">
        <v>279</v>
      </c>
    </row>
    <row r="30" spans="1:16">
      <c r="A30" t="s">
        <v>248</v>
      </c>
      <c r="B30" t="s">
        <v>44</v>
      </c>
      <c r="C30">
        <v>76</v>
      </c>
      <c r="D30" t="s">
        <v>114</v>
      </c>
      <c r="E30">
        <v>16.702022965230071</v>
      </c>
      <c r="F30" t="s">
        <v>272</v>
      </c>
      <c r="G30" t="s">
        <v>273</v>
      </c>
      <c r="H30" t="s">
        <v>274</v>
      </c>
      <c r="I30" t="s">
        <v>275</v>
      </c>
      <c r="J30" t="s">
        <v>149</v>
      </c>
      <c r="K30" t="s">
        <v>276</v>
      </c>
      <c r="M30" t="s">
        <v>277</v>
      </c>
      <c r="N30" t="s">
        <v>253</v>
      </c>
      <c r="O30" t="s">
        <v>278</v>
      </c>
      <c r="P30" t="s">
        <v>279</v>
      </c>
    </row>
    <row r="31" spans="1:16">
      <c r="A31" t="s">
        <v>248</v>
      </c>
      <c r="B31" t="s">
        <v>45</v>
      </c>
      <c r="C31">
        <v>77</v>
      </c>
      <c r="D31" t="s">
        <v>114</v>
      </c>
      <c r="E31">
        <v>15.59342898881553</v>
      </c>
      <c r="F31" t="s">
        <v>272</v>
      </c>
      <c r="G31" t="s">
        <v>273</v>
      </c>
      <c r="H31" t="s">
        <v>274</v>
      </c>
      <c r="I31" t="s">
        <v>275</v>
      </c>
      <c r="J31" t="s">
        <v>149</v>
      </c>
      <c r="K31" t="s">
        <v>276</v>
      </c>
      <c r="M31" t="s">
        <v>277</v>
      </c>
      <c r="N31" t="s">
        <v>253</v>
      </c>
      <c r="O31" t="s">
        <v>278</v>
      </c>
      <c r="P31" t="s">
        <v>279</v>
      </c>
    </row>
    <row r="32" spans="1:16">
      <c r="A32" t="s">
        <v>248</v>
      </c>
      <c r="B32" t="s">
        <v>119</v>
      </c>
      <c r="C32">
        <v>78</v>
      </c>
      <c r="D32" t="s">
        <v>114</v>
      </c>
      <c r="E32">
        <v>11.84939630347947</v>
      </c>
      <c r="F32" t="s">
        <v>272</v>
      </c>
      <c r="G32" t="s">
        <v>273</v>
      </c>
      <c r="H32" t="s">
        <v>274</v>
      </c>
      <c r="I32" t="s">
        <v>275</v>
      </c>
      <c r="J32" t="s">
        <v>149</v>
      </c>
      <c r="K32" t="s">
        <v>276</v>
      </c>
      <c r="M32" t="s">
        <v>277</v>
      </c>
      <c r="N32" t="s">
        <v>253</v>
      </c>
      <c r="O32" t="s">
        <v>278</v>
      </c>
      <c r="P32" t="s">
        <v>279</v>
      </c>
    </row>
    <row r="33" spans="1:16">
      <c r="A33" t="s">
        <v>248</v>
      </c>
      <c r="B33" t="s">
        <v>47</v>
      </c>
      <c r="C33">
        <v>79</v>
      </c>
      <c r="D33" t="s">
        <v>114</v>
      </c>
      <c r="E33">
        <v>14.12442335996656</v>
      </c>
      <c r="F33" t="s">
        <v>272</v>
      </c>
      <c r="G33" t="s">
        <v>273</v>
      </c>
      <c r="H33" t="s">
        <v>274</v>
      </c>
      <c r="I33" t="s">
        <v>275</v>
      </c>
      <c r="J33" t="s">
        <v>149</v>
      </c>
      <c r="K33" t="s">
        <v>276</v>
      </c>
      <c r="M33" t="s">
        <v>277</v>
      </c>
      <c r="N33" t="s">
        <v>253</v>
      </c>
      <c r="O33" t="s">
        <v>278</v>
      </c>
      <c r="P33" t="s">
        <v>279</v>
      </c>
    </row>
    <row r="34" spans="1:16">
      <c r="A34" t="s">
        <v>248</v>
      </c>
      <c r="B34" t="s">
        <v>289</v>
      </c>
      <c r="C34">
        <v>80</v>
      </c>
      <c r="D34" t="s">
        <v>114</v>
      </c>
      <c r="E34">
        <v>14.262010835471109</v>
      </c>
      <c r="F34" t="s">
        <v>272</v>
      </c>
      <c r="G34" t="s">
        <v>273</v>
      </c>
      <c r="H34" t="s">
        <v>274</v>
      </c>
      <c r="I34" t="s">
        <v>275</v>
      </c>
      <c r="J34" t="s">
        <v>149</v>
      </c>
      <c r="K34" t="s">
        <v>276</v>
      </c>
      <c r="M34" t="s">
        <v>277</v>
      </c>
      <c r="N34" t="s">
        <v>253</v>
      </c>
      <c r="O34" t="s">
        <v>278</v>
      </c>
      <c r="P34" t="s">
        <v>279</v>
      </c>
    </row>
    <row r="35" spans="1:16">
      <c r="A35" t="s">
        <v>248</v>
      </c>
      <c r="B35" t="s">
        <v>49</v>
      </c>
      <c r="C35">
        <v>81</v>
      </c>
      <c r="D35" t="s">
        <v>114</v>
      </c>
      <c r="E35">
        <v>13.670809233591189</v>
      </c>
      <c r="F35" t="s">
        <v>272</v>
      </c>
      <c r="G35" t="s">
        <v>273</v>
      </c>
      <c r="H35" t="s">
        <v>274</v>
      </c>
      <c r="I35" t="s">
        <v>275</v>
      </c>
      <c r="J35" t="s">
        <v>149</v>
      </c>
      <c r="K35" t="s">
        <v>276</v>
      </c>
      <c r="M35" t="s">
        <v>277</v>
      </c>
      <c r="N35" t="s">
        <v>253</v>
      </c>
      <c r="O35" t="s">
        <v>278</v>
      </c>
      <c r="P35" t="s">
        <v>279</v>
      </c>
    </row>
    <row r="36" spans="1:16">
      <c r="A36" t="s">
        <v>248</v>
      </c>
      <c r="B36" t="s">
        <v>290</v>
      </c>
      <c r="C36">
        <v>82</v>
      </c>
      <c r="D36" t="s">
        <v>114</v>
      </c>
      <c r="E36">
        <v>15.613082883952201</v>
      </c>
      <c r="F36" t="s">
        <v>272</v>
      </c>
      <c r="G36" t="s">
        <v>273</v>
      </c>
      <c r="H36" t="s">
        <v>274</v>
      </c>
      <c r="I36" t="s">
        <v>275</v>
      </c>
      <c r="J36" t="s">
        <v>149</v>
      </c>
      <c r="K36" t="s">
        <v>276</v>
      </c>
      <c r="M36" t="s">
        <v>277</v>
      </c>
      <c r="N36" t="s">
        <v>253</v>
      </c>
      <c r="O36" t="s">
        <v>278</v>
      </c>
      <c r="P36" t="s">
        <v>279</v>
      </c>
    </row>
    <row r="37" spans="1:16">
      <c r="A37" t="s">
        <v>248</v>
      </c>
      <c r="B37" t="s">
        <v>51</v>
      </c>
      <c r="C37">
        <v>83</v>
      </c>
      <c r="D37" t="s">
        <v>114</v>
      </c>
      <c r="E37">
        <v>15.754436297463201</v>
      </c>
      <c r="F37" t="s">
        <v>272</v>
      </c>
      <c r="G37" t="s">
        <v>273</v>
      </c>
      <c r="H37" t="s">
        <v>274</v>
      </c>
      <c r="I37" t="s">
        <v>275</v>
      </c>
      <c r="J37" t="s">
        <v>149</v>
      </c>
      <c r="K37" t="s">
        <v>276</v>
      </c>
      <c r="M37" t="s">
        <v>277</v>
      </c>
      <c r="N37" t="s">
        <v>253</v>
      </c>
      <c r="O37" t="s">
        <v>278</v>
      </c>
      <c r="P37" t="s">
        <v>279</v>
      </c>
    </row>
    <row r="38" spans="1:16">
      <c r="A38" t="s">
        <v>248</v>
      </c>
      <c r="B38" t="s">
        <v>52</v>
      </c>
      <c r="C38">
        <v>84</v>
      </c>
      <c r="D38" t="s">
        <v>114</v>
      </c>
      <c r="E38">
        <v>14.52229756428571</v>
      </c>
      <c r="F38" t="s">
        <v>272</v>
      </c>
      <c r="G38" t="s">
        <v>273</v>
      </c>
      <c r="H38" t="s">
        <v>274</v>
      </c>
      <c r="I38" t="s">
        <v>275</v>
      </c>
      <c r="J38" t="s">
        <v>149</v>
      </c>
      <c r="K38" t="s">
        <v>276</v>
      </c>
      <c r="M38" t="s">
        <v>277</v>
      </c>
      <c r="N38" t="s">
        <v>253</v>
      </c>
      <c r="O38" t="s">
        <v>278</v>
      </c>
      <c r="P38" t="s">
        <v>279</v>
      </c>
    </row>
    <row r="39" spans="1:16">
      <c r="A39" t="s">
        <v>248</v>
      </c>
      <c r="B39" t="s">
        <v>291</v>
      </c>
      <c r="C39">
        <v>85</v>
      </c>
      <c r="D39" t="s">
        <v>114</v>
      </c>
      <c r="E39">
        <v>13.396598030460281</v>
      </c>
      <c r="F39" t="s">
        <v>272</v>
      </c>
      <c r="G39" t="s">
        <v>273</v>
      </c>
      <c r="H39" t="s">
        <v>274</v>
      </c>
      <c r="I39" t="s">
        <v>275</v>
      </c>
      <c r="J39" t="s">
        <v>149</v>
      </c>
      <c r="K39" t="s">
        <v>276</v>
      </c>
      <c r="M39" t="s">
        <v>277</v>
      </c>
      <c r="N39" t="s">
        <v>253</v>
      </c>
      <c r="O39" t="s">
        <v>278</v>
      </c>
      <c r="P39" t="s">
        <v>279</v>
      </c>
    </row>
    <row r="40" spans="1:16">
      <c r="A40" t="s">
        <v>248</v>
      </c>
      <c r="B40" t="s">
        <v>54</v>
      </c>
      <c r="C40">
        <v>86</v>
      </c>
      <c r="D40" t="s">
        <v>114</v>
      </c>
      <c r="E40">
        <v>14.077055419339249</v>
      </c>
      <c r="F40" t="s">
        <v>272</v>
      </c>
      <c r="G40" t="s">
        <v>273</v>
      </c>
      <c r="H40" t="s">
        <v>274</v>
      </c>
      <c r="I40" t="s">
        <v>275</v>
      </c>
      <c r="J40" t="s">
        <v>149</v>
      </c>
      <c r="K40" t="s">
        <v>276</v>
      </c>
      <c r="M40" t="s">
        <v>277</v>
      </c>
      <c r="N40" t="s">
        <v>253</v>
      </c>
      <c r="O40" t="s">
        <v>278</v>
      </c>
      <c r="P40" t="s">
        <v>279</v>
      </c>
    </row>
    <row r="41" spans="1:16">
      <c r="A41" t="s">
        <v>248</v>
      </c>
      <c r="B41" t="s">
        <v>292</v>
      </c>
      <c r="C41">
        <v>87</v>
      </c>
      <c r="D41" t="s">
        <v>114</v>
      </c>
      <c r="E41">
        <v>13.375154821314331</v>
      </c>
      <c r="F41" t="s">
        <v>272</v>
      </c>
      <c r="G41" t="s">
        <v>273</v>
      </c>
      <c r="H41" t="s">
        <v>274</v>
      </c>
      <c r="I41" t="s">
        <v>275</v>
      </c>
      <c r="J41" t="s">
        <v>149</v>
      </c>
      <c r="K41" t="s">
        <v>276</v>
      </c>
      <c r="M41" t="s">
        <v>277</v>
      </c>
      <c r="N41" t="s">
        <v>253</v>
      </c>
      <c r="O41" t="s">
        <v>278</v>
      </c>
      <c r="P41" t="s">
        <v>279</v>
      </c>
    </row>
    <row r="42" spans="1:16">
      <c r="A42" t="s">
        <v>248</v>
      </c>
      <c r="B42" t="s">
        <v>56</v>
      </c>
      <c r="C42">
        <v>88</v>
      </c>
      <c r="D42" t="s">
        <v>114</v>
      </c>
      <c r="E42">
        <v>13.20413086548279</v>
      </c>
      <c r="F42" t="s">
        <v>272</v>
      </c>
      <c r="G42" t="s">
        <v>273</v>
      </c>
      <c r="H42" t="s">
        <v>274</v>
      </c>
      <c r="I42" t="s">
        <v>275</v>
      </c>
      <c r="J42" t="s">
        <v>149</v>
      </c>
      <c r="K42" t="s">
        <v>276</v>
      </c>
      <c r="M42" t="s">
        <v>277</v>
      </c>
      <c r="N42" t="s">
        <v>253</v>
      </c>
      <c r="O42" t="s">
        <v>278</v>
      </c>
      <c r="P42" t="s">
        <v>279</v>
      </c>
    </row>
    <row r="43" spans="1:16">
      <c r="A43" t="s">
        <v>248</v>
      </c>
      <c r="B43" t="s">
        <v>57</v>
      </c>
      <c r="C43">
        <v>89</v>
      </c>
      <c r="D43" t="s">
        <v>114</v>
      </c>
      <c r="E43">
        <v>9.8784231074823978</v>
      </c>
      <c r="F43" t="s">
        <v>272</v>
      </c>
      <c r="G43" t="s">
        <v>273</v>
      </c>
      <c r="H43" t="s">
        <v>274</v>
      </c>
      <c r="I43" t="s">
        <v>275</v>
      </c>
      <c r="J43" t="s">
        <v>149</v>
      </c>
      <c r="K43" t="s">
        <v>276</v>
      </c>
      <c r="M43" t="s">
        <v>277</v>
      </c>
      <c r="N43" t="s">
        <v>253</v>
      </c>
      <c r="O43" t="s">
        <v>278</v>
      </c>
      <c r="P43" t="s">
        <v>279</v>
      </c>
    </row>
    <row r="44" spans="1:16">
      <c r="A44" t="s">
        <v>248</v>
      </c>
      <c r="B44" t="s">
        <v>293</v>
      </c>
      <c r="C44">
        <v>90</v>
      </c>
      <c r="D44" t="s">
        <v>114</v>
      </c>
      <c r="E44">
        <v>10.50089902763064</v>
      </c>
      <c r="F44" t="s">
        <v>272</v>
      </c>
      <c r="G44" t="s">
        <v>273</v>
      </c>
      <c r="H44" t="s">
        <v>274</v>
      </c>
      <c r="I44" t="s">
        <v>275</v>
      </c>
      <c r="J44" t="s">
        <v>149</v>
      </c>
      <c r="K44" t="s">
        <v>276</v>
      </c>
      <c r="M44" t="s">
        <v>277</v>
      </c>
      <c r="N44" t="s">
        <v>253</v>
      </c>
      <c r="O44" t="s">
        <v>278</v>
      </c>
      <c r="P44" t="s">
        <v>279</v>
      </c>
    </row>
    <row r="45" spans="1:16">
      <c r="A45" t="s">
        <v>248</v>
      </c>
      <c r="B45" t="s">
        <v>59</v>
      </c>
      <c r="C45">
        <v>91</v>
      </c>
      <c r="D45" t="s">
        <v>114</v>
      </c>
      <c r="E45">
        <v>9.9586619203400168</v>
      </c>
      <c r="F45" t="s">
        <v>272</v>
      </c>
      <c r="G45" t="s">
        <v>273</v>
      </c>
      <c r="H45" t="s">
        <v>274</v>
      </c>
      <c r="I45" t="s">
        <v>275</v>
      </c>
      <c r="J45" t="s">
        <v>149</v>
      </c>
      <c r="K45" t="s">
        <v>276</v>
      </c>
      <c r="M45" t="s">
        <v>277</v>
      </c>
      <c r="N45" t="s">
        <v>253</v>
      </c>
      <c r="O45" t="s">
        <v>278</v>
      </c>
      <c r="P45" t="s">
        <v>279</v>
      </c>
    </row>
    <row r="46" spans="1:16">
      <c r="A46" t="s">
        <v>248</v>
      </c>
      <c r="B46" t="s">
        <v>294</v>
      </c>
      <c r="C46">
        <v>92</v>
      </c>
      <c r="D46" t="s">
        <v>114</v>
      </c>
      <c r="E46">
        <v>9.0038051743070291</v>
      </c>
      <c r="F46" t="s">
        <v>272</v>
      </c>
      <c r="G46" t="s">
        <v>273</v>
      </c>
      <c r="H46" t="s">
        <v>274</v>
      </c>
      <c r="I46" t="s">
        <v>275</v>
      </c>
      <c r="J46" t="s">
        <v>149</v>
      </c>
      <c r="K46" t="s">
        <v>276</v>
      </c>
      <c r="M46" t="s">
        <v>277</v>
      </c>
      <c r="N46" t="s">
        <v>253</v>
      </c>
      <c r="O46" t="s">
        <v>278</v>
      </c>
      <c r="P46" t="s">
        <v>279</v>
      </c>
    </row>
    <row r="47" spans="1:16">
      <c r="A47" t="s">
        <v>248</v>
      </c>
      <c r="B47" t="s">
        <v>61</v>
      </c>
      <c r="C47">
        <v>93</v>
      </c>
      <c r="D47" t="s">
        <v>114</v>
      </c>
      <c r="E47">
        <v>10.590720189592281</v>
      </c>
      <c r="F47" t="s">
        <v>272</v>
      </c>
      <c r="G47" t="s">
        <v>273</v>
      </c>
      <c r="H47" t="s">
        <v>274</v>
      </c>
      <c r="I47" t="s">
        <v>275</v>
      </c>
      <c r="J47" t="s">
        <v>149</v>
      </c>
      <c r="K47" t="s">
        <v>276</v>
      </c>
      <c r="M47" t="s">
        <v>277</v>
      </c>
      <c r="N47" t="s">
        <v>253</v>
      </c>
      <c r="O47" t="s">
        <v>278</v>
      </c>
      <c r="P47" t="s">
        <v>295</v>
      </c>
    </row>
    <row r="48" spans="1:16">
      <c r="A48" t="s">
        <v>248</v>
      </c>
      <c r="B48" t="s">
        <v>62</v>
      </c>
      <c r="C48">
        <v>94</v>
      </c>
      <c r="D48" t="s">
        <v>114</v>
      </c>
      <c r="E48">
        <v>10.239594013535109</v>
      </c>
      <c r="F48" t="s">
        <v>272</v>
      </c>
      <c r="G48" t="s">
        <v>273</v>
      </c>
      <c r="H48" t="s">
        <v>274</v>
      </c>
      <c r="I48" t="s">
        <v>275</v>
      </c>
      <c r="J48" t="s">
        <v>149</v>
      </c>
      <c r="K48" t="s">
        <v>276</v>
      </c>
      <c r="M48" t="s">
        <v>277</v>
      </c>
      <c r="N48" t="s">
        <v>253</v>
      </c>
      <c r="O48" t="s">
        <v>278</v>
      </c>
      <c r="P48" t="s">
        <v>295</v>
      </c>
    </row>
    <row r="49" spans="1:16">
      <c r="A49" t="s">
        <v>248</v>
      </c>
      <c r="B49" t="s">
        <v>63</v>
      </c>
      <c r="C49">
        <v>95</v>
      </c>
      <c r="D49" t="s">
        <v>114</v>
      </c>
      <c r="E49">
        <v>8.6545282395782852</v>
      </c>
      <c r="F49" t="s">
        <v>272</v>
      </c>
      <c r="G49" t="s">
        <v>273</v>
      </c>
      <c r="H49" t="s">
        <v>274</v>
      </c>
      <c r="I49" t="s">
        <v>275</v>
      </c>
      <c r="J49" t="s">
        <v>149</v>
      </c>
      <c r="K49" t="s">
        <v>276</v>
      </c>
      <c r="M49" t="s">
        <v>277</v>
      </c>
      <c r="N49" t="s">
        <v>253</v>
      </c>
      <c r="O49" t="s">
        <v>278</v>
      </c>
      <c r="P49" t="s">
        <v>295</v>
      </c>
    </row>
    <row r="50" spans="1:16">
      <c r="A50" t="s">
        <v>248</v>
      </c>
      <c r="B50" t="s">
        <v>64</v>
      </c>
      <c r="C50">
        <v>96</v>
      </c>
      <c r="D50" t="s">
        <v>114</v>
      </c>
      <c r="E50">
        <v>8.4291896375750976</v>
      </c>
      <c r="F50" t="s">
        <v>272</v>
      </c>
      <c r="G50" t="s">
        <v>273</v>
      </c>
      <c r="H50" t="s">
        <v>274</v>
      </c>
      <c r="I50" t="s">
        <v>275</v>
      </c>
      <c r="J50" t="s">
        <v>149</v>
      </c>
      <c r="K50" t="s">
        <v>276</v>
      </c>
      <c r="M50" t="s">
        <v>277</v>
      </c>
      <c r="N50" t="s">
        <v>253</v>
      </c>
      <c r="O50" t="s">
        <v>278</v>
      </c>
      <c r="P50" t="s">
        <v>295</v>
      </c>
    </row>
    <row r="51" spans="1:16">
      <c r="A51" t="s">
        <v>248</v>
      </c>
      <c r="B51" t="s">
        <v>26</v>
      </c>
      <c r="C51">
        <v>48</v>
      </c>
      <c r="D51" t="s">
        <v>120</v>
      </c>
      <c r="E51">
        <v>35.465335513939017</v>
      </c>
      <c r="F51" t="s">
        <v>272</v>
      </c>
      <c r="G51" t="s">
        <v>273</v>
      </c>
      <c r="H51" t="s">
        <v>274</v>
      </c>
      <c r="I51" t="s">
        <v>275</v>
      </c>
      <c r="J51" t="s">
        <v>149</v>
      </c>
      <c r="K51" t="s">
        <v>276</v>
      </c>
      <c r="M51" t="s">
        <v>277</v>
      </c>
      <c r="N51" t="s">
        <v>253</v>
      </c>
      <c r="O51" t="s">
        <v>278</v>
      </c>
      <c r="P51" t="s">
        <v>279</v>
      </c>
    </row>
    <row r="52" spans="1:16">
      <c r="A52" t="s">
        <v>248</v>
      </c>
      <c r="B52" t="s">
        <v>280</v>
      </c>
      <c r="C52">
        <v>49</v>
      </c>
      <c r="D52" t="s">
        <v>120</v>
      </c>
      <c r="E52">
        <v>32.059321729858503</v>
      </c>
      <c r="F52" t="s">
        <v>272</v>
      </c>
      <c r="G52" t="s">
        <v>273</v>
      </c>
      <c r="H52" t="s">
        <v>274</v>
      </c>
      <c r="I52" t="s">
        <v>275</v>
      </c>
      <c r="J52" t="s">
        <v>149</v>
      </c>
      <c r="K52" t="s">
        <v>276</v>
      </c>
      <c r="M52" t="s">
        <v>277</v>
      </c>
      <c r="N52" t="s">
        <v>253</v>
      </c>
      <c r="O52" t="s">
        <v>278</v>
      </c>
      <c r="P52" t="s">
        <v>279</v>
      </c>
    </row>
    <row r="53" spans="1:16">
      <c r="A53" t="s">
        <v>248</v>
      </c>
      <c r="B53" t="s">
        <v>27</v>
      </c>
      <c r="C53">
        <v>50</v>
      </c>
      <c r="D53" t="s">
        <v>120</v>
      </c>
      <c r="E53">
        <v>31.870410547006561</v>
      </c>
      <c r="F53" t="s">
        <v>272</v>
      </c>
      <c r="G53" t="s">
        <v>273</v>
      </c>
      <c r="H53" t="s">
        <v>274</v>
      </c>
      <c r="I53" t="s">
        <v>275</v>
      </c>
      <c r="J53" t="s">
        <v>149</v>
      </c>
      <c r="K53" t="s">
        <v>276</v>
      </c>
      <c r="M53" t="s">
        <v>277</v>
      </c>
      <c r="N53" t="s">
        <v>253</v>
      </c>
      <c r="O53" t="s">
        <v>278</v>
      </c>
      <c r="P53" t="s">
        <v>279</v>
      </c>
    </row>
    <row r="54" spans="1:16">
      <c r="A54" t="s">
        <v>248</v>
      </c>
      <c r="B54" t="s">
        <v>281</v>
      </c>
      <c r="C54">
        <v>51</v>
      </c>
      <c r="D54" t="s">
        <v>120</v>
      </c>
      <c r="E54">
        <v>32.238758895670003</v>
      </c>
      <c r="F54" t="s">
        <v>272</v>
      </c>
      <c r="G54" t="s">
        <v>273</v>
      </c>
      <c r="H54" t="s">
        <v>274</v>
      </c>
      <c r="I54" t="s">
        <v>275</v>
      </c>
      <c r="J54" t="s">
        <v>149</v>
      </c>
      <c r="K54" t="s">
        <v>276</v>
      </c>
      <c r="M54" t="s">
        <v>277</v>
      </c>
      <c r="N54" t="s">
        <v>253</v>
      </c>
      <c r="O54" t="s">
        <v>278</v>
      </c>
      <c r="P54" t="s">
        <v>279</v>
      </c>
    </row>
    <row r="55" spans="1:16">
      <c r="A55" t="s">
        <v>248</v>
      </c>
      <c r="B55" t="s">
        <v>28</v>
      </c>
      <c r="C55">
        <v>52</v>
      </c>
      <c r="D55" t="s">
        <v>120</v>
      </c>
      <c r="E55">
        <v>29.978344664365491</v>
      </c>
      <c r="F55" t="s">
        <v>272</v>
      </c>
      <c r="G55" t="s">
        <v>273</v>
      </c>
      <c r="H55" t="s">
        <v>274</v>
      </c>
      <c r="I55" t="s">
        <v>275</v>
      </c>
      <c r="J55" t="s">
        <v>149</v>
      </c>
      <c r="K55" t="s">
        <v>276</v>
      </c>
      <c r="M55" t="s">
        <v>277</v>
      </c>
      <c r="N55" t="s">
        <v>253</v>
      </c>
      <c r="O55" t="s">
        <v>278</v>
      </c>
      <c r="P55" t="s">
        <v>279</v>
      </c>
    </row>
    <row r="56" spans="1:16">
      <c r="A56" t="s">
        <v>248</v>
      </c>
      <c r="B56" t="s">
        <v>29</v>
      </c>
      <c r="C56">
        <v>53</v>
      </c>
      <c r="D56" t="s">
        <v>120</v>
      </c>
      <c r="E56">
        <v>20.433622167375251</v>
      </c>
      <c r="F56" t="s">
        <v>272</v>
      </c>
      <c r="G56" t="s">
        <v>273</v>
      </c>
      <c r="H56" t="s">
        <v>274</v>
      </c>
      <c r="I56" t="s">
        <v>275</v>
      </c>
      <c r="J56" t="s">
        <v>149</v>
      </c>
      <c r="K56" t="s">
        <v>276</v>
      </c>
      <c r="M56" t="s">
        <v>277</v>
      </c>
      <c r="N56" t="s">
        <v>253</v>
      </c>
      <c r="O56" t="s">
        <v>278</v>
      </c>
      <c r="P56" t="s">
        <v>279</v>
      </c>
    </row>
    <row r="57" spans="1:16">
      <c r="A57" t="s">
        <v>248</v>
      </c>
      <c r="B57" t="s">
        <v>282</v>
      </c>
      <c r="C57">
        <v>54</v>
      </c>
      <c r="D57" t="s">
        <v>120</v>
      </c>
      <c r="E57">
        <v>28.04130093202388</v>
      </c>
      <c r="F57" t="s">
        <v>272</v>
      </c>
      <c r="G57" t="s">
        <v>273</v>
      </c>
      <c r="H57" t="s">
        <v>274</v>
      </c>
      <c r="I57" t="s">
        <v>275</v>
      </c>
      <c r="J57" t="s">
        <v>149</v>
      </c>
      <c r="K57" t="s">
        <v>276</v>
      </c>
      <c r="M57" t="s">
        <v>277</v>
      </c>
      <c r="N57" t="s">
        <v>253</v>
      </c>
      <c r="O57" t="s">
        <v>278</v>
      </c>
      <c r="P57" t="s">
        <v>279</v>
      </c>
    </row>
    <row r="58" spans="1:16">
      <c r="A58" t="s">
        <v>248</v>
      </c>
      <c r="B58" t="s">
        <v>30</v>
      </c>
      <c r="C58">
        <v>55</v>
      </c>
      <c r="D58" t="s">
        <v>120</v>
      </c>
      <c r="E58">
        <v>34.204683990892178</v>
      </c>
      <c r="F58" t="s">
        <v>272</v>
      </c>
      <c r="G58" t="s">
        <v>273</v>
      </c>
      <c r="H58" t="s">
        <v>274</v>
      </c>
      <c r="I58" t="s">
        <v>275</v>
      </c>
      <c r="J58" t="s">
        <v>149</v>
      </c>
      <c r="K58" t="s">
        <v>276</v>
      </c>
      <c r="M58" t="s">
        <v>277</v>
      </c>
      <c r="N58" t="s">
        <v>253</v>
      </c>
      <c r="O58" t="s">
        <v>278</v>
      </c>
      <c r="P58" t="s">
        <v>279</v>
      </c>
    </row>
    <row r="59" spans="1:16">
      <c r="A59" t="s">
        <v>248</v>
      </c>
      <c r="B59" t="s">
        <v>283</v>
      </c>
      <c r="C59">
        <v>56</v>
      </c>
      <c r="D59" t="s">
        <v>120</v>
      </c>
      <c r="E59">
        <v>23.90468206371574</v>
      </c>
      <c r="F59" t="s">
        <v>272</v>
      </c>
      <c r="G59" t="s">
        <v>273</v>
      </c>
      <c r="H59" t="s">
        <v>274</v>
      </c>
      <c r="I59" t="s">
        <v>275</v>
      </c>
      <c r="J59" t="s">
        <v>149</v>
      </c>
      <c r="K59" t="s">
        <v>276</v>
      </c>
      <c r="M59" t="s">
        <v>277</v>
      </c>
      <c r="N59" t="s">
        <v>253</v>
      </c>
      <c r="O59" t="s">
        <v>278</v>
      </c>
      <c r="P59" t="s">
        <v>279</v>
      </c>
    </row>
    <row r="60" spans="1:16">
      <c r="A60" t="s">
        <v>248</v>
      </c>
      <c r="B60" t="s">
        <v>31</v>
      </c>
      <c r="C60">
        <v>57</v>
      </c>
      <c r="D60" t="s">
        <v>120</v>
      </c>
      <c r="E60">
        <v>23.695504996816489</v>
      </c>
      <c r="F60" t="s">
        <v>272</v>
      </c>
      <c r="G60" t="s">
        <v>273</v>
      </c>
      <c r="H60" t="s">
        <v>274</v>
      </c>
      <c r="I60" t="s">
        <v>275</v>
      </c>
      <c r="J60" t="s">
        <v>149</v>
      </c>
      <c r="K60" t="s">
        <v>276</v>
      </c>
      <c r="M60" t="s">
        <v>277</v>
      </c>
      <c r="N60" t="s">
        <v>253</v>
      </c>
      <c r="O60" t="s">
        <v>278</v>
      </c>
      <c r="P60" t="s">
        <v>279</v>
      </c>
    </row>
    <row r="61" spans="1:16">
      <c r="A61" t="s">
        <v>248</v>
      </c>
      <c r="B61" t="s">
        <v>284</v>
      </c>
      <c r="C61">
        <v>58</v>
      </c>
      <c r="D61" t="s">
        <v>120</v>
      </c>
      <c r="E61">
        <v>24.24806136655808</v>
      </c>
      <c r="F61" t="s">
        <v>272</v>
      </c>
      <c r="G61" t="s">
        <v>273</v>
      </c>
      <c r="H61" t="s">
        <v>274</v>
      </c>
      <c r="I61" t="s">
        <v>275</v>
      </c>
      <c r="J61" t="s">
        <v>149</v>
      </c>
      <c r="K61" t="s">
        <v>276</v>
      </c>
      <c r="M61" t="s">
        <v>277</v>
      </c>
      <c r="N61" t="s">
        <v>253</v>
      </c>
      <c r="O61" t="s">
        <v>278</v>
      </c>
      <c r="P61" t="s">
        <v>279</v>
      </c>
    </row>
    <row r="62" spans="1:16">
      <c r="A62" t="s">
        <v>248</v>
      </c>
      <c r="B62" t="s">
        <v>32</v>
      </c>
      <c r="C62">
        <v>59</v>
      </c>
      <c r="D62" t="s">
        <v>120</v>
      </c>
      <c r="E62">
        <v>25.614182909095181</v>
      </c>
      <c r="F62" t="s">
        <v>272</v>
      </c>
      <c r="G62" t="s">
        <v>273</v>
      </c>
      <c r="H62" t="s">
        <v>274</v>
      </c>
      <c r="I62" t="s">
        <v>275</v>
      </c>
      <c r="J62" t="s">
        <v>149</v>
      </c>
      <c r="K62" t="s">
        <v>276</v>
      </c>
      <c r="M62" t="s">
        <v>277</v>
      </c>
      <c r="N62" t="s">
        <v>253</v>
      </c>
      <c r="O62" t="s">
        <v>278</v>
      </c>
      <c r="P62" t="s">
        <v>279</v>
      </c>
    </row>
    <row r="63" spans="1:16">
      <c r="A63" t="s">
        <v>248</v>
      </c>
      <c r="B63" t="s">
        <v>33</v>
      </c>
      <c r="C63">
        <v>60</v>
      </c>
      <c r="D63" t="s">
        <v>120</v>
      </c>
      <c r="E63">
        <v>26.335313707388881</v>
      </c>
      <c r="F63" t="s">
        <v>272</v>
      </c>
      <c r="G63" t="s">
        <v>273</v>
      </c>
      <c r="H63" t="s">
        <v>274</v>
      </c>
      <c r="I63" t="s">
        <v>275</v>
      </c>
      <c r="J63" t="s">
        <v>149</v>
      </c>
      <c r="K63" t="s">
        <v>276</v>
      </c>
      <c r="M63" t="s">
        <v>277</v>
      </c>
      <c r="N63" t="s">
        <v>253</v>
      </c>
      <c r="O63" t="s">
        <v>278</v>
      </c>
      <c r="P63" t="s">
        <v>279</v>
      </c>
    </row>
    <row r="64" spans="1:16">
      <c r="A64" t="s">
        <v>248</v>
      </c>
      <c r="B64" t="s">
        <v>285</v>
      </c>
      <c r="C64">
        <v>61</v>
      </c>
      <c r="D64" t="s">
        <v>120</v>
      </c>
      <c r="E64">
        <v>24.961471725153931</v>
      </c>
      <c r="F64" t="s">
        <v>272</v>
      </c>
      <c r="G64" t="s">
        <v>273</v>
      </c>
      <c r="H64" t="s">
        <v>274</v>
      </c>
      <c r="I64" t="s">
        <v>275</v>
      </c>
      <c r="J64" t="s">
        <v>149</v>
      </c>
      <c r="K64" t="s">
        <v>276</v>
      </c>
      <c r="M64" t="s">
        <v>277</v>
      </c>
      <c r="N64" t="s">
        <v>253</v>
      </c>
      <c r="O64" t="s">
        <v>278</v>
      </c>
      <c r="P64" t="s">
        <v>279</v>
      </c>
    </row>
    <row r="65" spans="1:16">
      <c r="A65" t="s">
        <v>248</v>
      </c>
      <c r="B65" t="s">
        <v>34</v>
      </c>
      <c r="C65">
        <v>62</v>
      </c>
      <c r="D65" t="s">
        <v>120</v>
      </c>
      <c r="E65">
        <v>25.773418921618951</v>
      </c>
      <c r="F65" t="s">
        <v>272</v>
      </c>
      <c r="G65" t="s">
        <v>273</v>
      </c>
      <c r="H65" t="s">
        <v>274</v>
      </c>
      <c r="I65" t="s">
        <v>275</v>
      </c>
      <c r="J65" t="s">
        <v>149</v>
      </c>
      <c r="K65" t="s">
        <v>276</v>
      </c>
      <c r="M65" t="s">
        <v>277</v>
      </c>
      <c r="N65" t="s">
        <v>253</v>
      </c>
      <c r="O65" t="s">
        <v>278</v>
      </c>
      <c r="P65" t="s">
        <v>279</v>
      </c>
    </row>
    <row r="66" spans="1:16">
      <c r="A66" t="s">
        <v>248</v>
      </c>
      <c r="B66" t="s">
        <v>116</v>
      </c>
      <c r="C66">
        <v>63</v>
      </c>
      <c r="D66" t="s">
        <v>120</v>
      </c>
      <c r="E66">
        <v>21.220645685065719</v>
      </c>
      <c r="F66" t="s">
        <v>272</v>
      </c>
      <c r="G66" t="s">
        <v>273</v>
      </c>
      <c r="H66" t="s">
        <v>274</v>
      </c>
      <c r="I66" t="s">
        <v>275</v>
      </c>
      <c r="J66" t="s">
        <v>149</v>
      </c>
      <c r="K66" t="s">
        <v>276</v>
      </c>
      <c r="M66" t="s">
        <v>277</v>
      </c>
      <c r="N66" t="s">
        <v>253</v>
      </c>
      <c r="O66" t="s">
        <v>278</v>
      </c>
      <c r="P66" t="s">
        <v>279</v>
      </c>
    </row>
    <row r="67" spans="1:16">
      <c r="A67" t="s">
        <v>248</v>
      </c>
      <c r="B67" t="s">
        <v>35</v>
      </c>
      <c r="C67">
        <v>64</v>
      </c>
      <c r="D67" t="s">
        <v>120</v>
      </c>
      <c r="E67">
        <v>21.295681554661108</v>
      </c>
      <c r="F67" t="s">
        <v>272</v>
      </c>
      <c r="G67" t="s">
        <v>273</v>
      </c>
      <c r="H67" t="s">
        <v>274</v>
      </c>
      <c r="I67" t="s">
        <v>275</v>
      </c>
      <c r="J67" t="s">
        <v>149</v>
      </c>
      <c r="K67" t="s">
        <v>276</v>
      </c>
      <c r="M67" t="s">
        <v>277</v>
      </c>
      <c r="N67" t="s">
        <v>253</v>
      </c>
      <c r="O67" t="s">
        <v>278</v>
      </c>
      <c r="P67" t="s">
        <v>279</v>
      </c>
    </row>
    <row r="68" spans="1:16">
      <c r="A68" t="s">
        <v>248</v>
      </c>
      <c r="B68" t="s">
        <v>36</v>
      </c>
      <c r="C68">
        <v>65</v>
      </c>
      <c r="D68" t="s">
        <v>120</v>
      </c>
      <c r="E68">
        <v>20.000959205824479</v>
      </c>
      <c r="F68" t="s">
        <v>272</v>
      </c>
      <c r="G68" t="s">
        <v>273</v>
      </c>
      <c r="H68" t="s">
        <v>274</v>
      </c>
      <c r="I68" t="s">
        <v>275</v>
      </c>
      <c r="J68" t="s">
        <v>149</v>
      </c>
      <c r="K68" t="s">
        <v>276</v>
      </c>
      <c r="M68" t="s">
        <v>277</v>
      </c>
      <c r="N68" t="s">
        <v>253</v>
      </c>
      <c r="O68" t="s">
        <v>278</v>
      </c>
      <c r="P68" t="s">
        <v>279</v>
      </c>
    </row>
    <row r="69" spans="1:16">
      <c r="A69" t="s">
        <v>248</v>
      </c>
      <c r="B69" t="s">
        <v>286</v>
      </c>
      <c r="C69">
        <v>66</v>
      </c>
      <c r="D69" t="s">
        <v>120</v>
      </c>
      <c r="E69">
        <v>21.371401933393742</v>
      </c>
      <c r="F69" t="s">
        <v>272</v>
      </c>
      <c r="G69" t="s">
        <v>273</v>
      </c>
      <c r="H69" t="s">
        <v>274</v>
      </c>
      <c r="I69" t="s">
        <v>275</v>
      </c>
      <c r="J69" t="s">
        <v>149</v>
      </c>
      <c r="K69" t="s">
        <v>276</v>
      </c>
      <c r="M69" t="s">
        <v>277</v>
      </c>
      <c r="N69" t="s">
        <v>253</v>
      </c>
      <c r="O69" t="s">
        <v>278</v>
      </c>
      <c r="P69" t="s">
        <v>279</v>
      </c>
    </row>
    <row r="70" spans="1:16">
      <c r="A70" t="s">
        <v>248</v>
      </c>
      <c r="B70" t="s">
        <v>37</v>
      </c>
      <c r="C70">
        <v>67</v>
      </c>
      <c r="D70" t="s">
        <v>120</v>
      </c>
      <c r="E70">
        <v>24.512803119807391</v>
      </c>
      <c r="F70" t="s">
        <v>272</v>
      </c>
      <c r="G70" t="s">
        <v>273</v>
      </c>
      <c r="H70" t="s">
        <v>274</v>
      </c>
      <c r="I70" t="s">
        <v>275</v>
      </c>
      <c r="J70" t="s">
        <v>149</v>
      </c>
      <c r="K70" t="s">
        <v>276</v>
      </c>
      <c r="M70" t="s">
        <v>277</v>
      </c>
      <c r="N70" t="s">
        <v>253</v>
      </c>
      <c r="O70" t="s">
        <v>278</v>
      </c>
      <c r="P70" t="s">
        <v>279</v>
      </c>
    </row>
    <row r="71" spans="1:16">
      <c r="A71" t="s">
        <v>248</v>
      </c>
      <c r="B71" t="s">
        <v>287</v>
      </c>
      <c r="C71">
        <v>68</v>
      </c>
      <c r="D71" t="s">
        <v>120</v>
      </c>
      <c r="E71">
        <v>20.79732272914304</v>
      </c>
      <c r="F71" t="s">
        <v>272</v>
      </c>
      <c r="G71" t="s">
        <v>273</v>
      </c>
      <c r="H71" t="s">
        <v>274</v>
      </c>
      <c r="I71" t="s">
        <v>275</v>
      </c>
      <c r="J71" t="s">
        <v>149</v>
      </c>
      <c r="K71" t="s">
        <v>276</v>
      </c>
      <c r="M71" t="s">
        <v>277</v>
      </c>
      <c r="N71" t="s">
        <v>253</v>
      </c>
      <c r="O71" t="s">
        <v>278</v>
      </c>
      <c r="P71" t="s">
        <v>279</v>
      </c>
    </row>
    <row r="72" spans="1:16">
      <c r="A72" t="s">
        <v>248</v>
      </c>
      <c r="B72" t="s">
        <v>38</v>
      </c>
      <c r="C72">
        <v>69</v>
      </c>
      <c r="D72" t="s">
        <v>120</v>
      </c>
      <c r="E72">
        <v>20.550250903743439</v>
      </c>
      <c r="F72" t="s">
        <v>272</v>
      </c>
      <c r="G72" t="s">
        <v>273</v>
      </c>
      <c r="H72" t="s">
        <v>274</v>
      </c>
      <c r="I72" t="s">
        <v>275</v>
      </c>
      <c r="J72" t="s">
        <v>149</v>
      </c>
      <c r="K72" t="s">
        <v>276</v>
      </c>
      <c r="M72" t="s">
        <v>277</v>
      </c>
      <c r="N72" t="s">
        <v>253</v>
      </c>
      <c r="O72" t="s">
        <v>278</v>
      </c>
      <c r="P72" t="s">
        <v>279</v>
      </c>
    </row>
    <row r="73" spans="1:16">
      <c r="A73" t="s">
        <v>248</v>
      </c>
      <c r="B73" t="s">
        <v>288</v>
      </c>
      <c r="C73">
        <v>70</v>
      </c>
      <c r="D73" t="s">
        <v>120</v>
      </c>
      <c r="E73">
        <v>21.05620098289651</v>
      </c>
      <c r="F73" t="s">
        <v>272</v>
      </c>
      <c r="G73" t="s">
        <v>273</v>
      </c>
      <c r="H73" t="s">
        <v>274</v>
      </c>
      <c r="I73" t="s">
        <v>275</v>
      </c>
      <c r="J73" t="s">
        <v>149</v>
      </c>
      <c r="K73" t="s">
        <v>276</v>
      </c>
      <c r="M73" t="s">
        <v>277</v>
      </c>
      <c r="N73" t="s">
        <v>253</v>
      </c>
      <c r="O73" t="s">
        <v>278</v>
      </c>
      <c r="P73" t="s">
        <v>279</v>
      </c>
    </row>
    <row r="74" spans="1:16">
      <c r="A74" t="s">
        <v>248</v>
      </c>
      <c r="B74" t="s">
        <v>39</v>
      </c>
      <c r="C74">
        <v>71</v>
      </c>
      <c r="D74" t="s">
        <v>120</v>
      </c>
      <c r="E74">
        <v>21.04991904129071</v>
      </c>
      <c r="F74" t="s">
        <v>272</v>
      </c>
      <c r="G74" t="s">
        <v>273</v>
      </c>
      <c r="H74" t="s">
        <v>274</v>
      </c>
      <c r="I74" t="s">
        <v>275</v>
      </c>
      <c r="J74" t="s">
        <v>149</v>
      </c>
      <c r="K74" t="s">
        <v>276</v>
      </c>
      <c r="M74" t="s">
        <v>277</v>
      </c>
      <c r="N74" t="s">
        <v>253</v>
      </c>
      <c r="O74" t="s">
        <v>278</v>
      </c>
      <c r="P74" t="s">
        <v>279</v>
      </c>
    </row>
    <row r="75" spans="1:16">
      <c r="A75" t="s">
        <v>248</v>
      </c>
      <c r="B75" t="s">
        <v>40</v>
      </c>
      <c r="C75">
        <v>72</v>
      </c>
      <c r="D75" t="s">
        <v>120</v>
      </c>
      <c r="E75">
        <v>20.011779521493668</v>
      </c>
      <c r="F75" t="s">
        <v>272</v>
      </c>
      <c r="G75" t="s">
        <v>273</v>
      </c>
      <c r="H75" t="s">
        <v>274</v>
      </c>
      <c r="I75" t="s">
        <v>275</v>
      </c>
      <c r="J75" t="s">
        <v>149</v>
      </c>
      <c r="K75" t="s">
        <v>276</v>
      </c>
      <c r="M75" t="s">
        <v>277</v>
      </c>
      <c r="N75" t="s">
        <v>253</v>
      </c>
      <c r="O75" t="s">
        <v>278</v>
      </c>
      <c r="P75" t="s">
        <v>296</v>
      </c>
    </row>
    <row r="76" spans="1:16">
      <c r="A76" t="s">
        <v>248</v>
      </c>
      <c r="B76" t="s">
        <v>117</v>
      </c>
      <c r="C76">
        <v>73</v>
      </c>
      <c r="D76" t="s">
        <v>120</v>
      </c>
      <c r="E76">
        <v>17.76529004476372</v>
      </c>
      <c r="F76" t="s">
        <v>272</v>
      </c>
      <c r="G76" t="s">
        <v>273</v>
      </c>
      <c r="H76" t="s">
        <v>274</v>
      </c>
      <c r="I76" t="s">
        <v>275</v>
      </c>
      <c r="J76" t="s">
        <v>149</v>
      </c>
      <c r="K76" t="s">
        <v>276</v>
      </c>
      <c r="M76" t="s">
        <v>277</v>
      </c>
      <c r="N76" t="s">
        <v>253</v>
      </c>
      <c r="O76" t="s">
        <v>278</v>
      </c>
      <c r="P76" t="s">
        <v>296</v>
      </c>
    </row>
    <row r="77" spans="1:16">
      <c r="A77" t="s">
        <v>248</v>
      </c>
      <c r="B77" t="s">
        <v>42</v>
      </c>
      <c r="C77">
        <v>74</v>
      </c>
      <c r="D77" t="s">
        <v>120</v>
      </c>
      <c r="E77">
        <v>18.066644104250841</v>
      </c>
      <c r="F77" t="s">
        <v>272</v>
      </c>
      <c r="G77" t="s">
        <v>273</v>
      </c>
      <c r="H77" t="s">
        <v>274</v>
      </c>
      <c r="I77" t="s">
        <v>275</v>
      </c>
      <c r="J77" t="s">
        <v>149</v>
      </c>
      <c r="K77" t="s">
        <v>276</v>
      </c>
      <c r="M77" t="s">
        <v>277</v>
      </c>
      <c r="N77" t="s">
        <v>253</v>
      </c>
      <c r="O77" t="s">
        <v>278</v>
      </c>
      <c r="P77" t="s">
        <v>296</v>
      </c>
    </row>
    <row r="78" spans="1:16">
      <c r="A78" t="s">
        <v>248</v>
      </c>
      <c r="B78" t="s">
        <v>118</v>
      </c>
      <c r="C78">
        <v>75</v>
      </c>
      <c r="D78" t="s">
        <v>120</v>
      </c>
      <c r="E78">
        <v>15.95085867718657</v>
      </c>
      <c r="F78" t="s">
        <v>272</v>
      </c>
      <c r="G78" t="s">
        <v>273</v>
      </c>
      <c r="H78" t="s">
        <v>274</v>
      </c>
      <c r="I78" t="s">
        <v>275</v>
      </c>
      <c r="J78" t="s">
        <v>149</v>
      </c>
      <c r="K78" t="s">
        <v>276</v>
      </c>
      <c r="M78" t="s">
        <v>277</v>
      </c>
      <c r="N78" t="s">
        <v>253</v>
      </c>
      <c r="O78" t="s">
        <v>278</v>
      </c>
      <c r="P78" t="s">
        <v>296</v>
      </c>
    </row>
    <row r="79" spans="1:16">
      <c r="A79" t="s">
        <v>248</v>
      </c>
      <c r="B79" t="s">
        <v>44</v>
      </c>
      <c r="C79">
        <v>76</v>
      </c>
      <c r="D79" t="s">
        <v>120</v>
      </c>
      <c r="E79">
        <v>14.060338055234251</v>
      </c>
      <c r="F79" t="s">
        <v>272</v>
      </c>
      <c r="G79" t="s">
        <v>273</v>
      </c>
      <c r="H79" t="s">
        <v>274</v>
      </c>
      <c r="I79" t="s">
        <v>275</v>
      </c>
      <c r="J79" t="s">
        <v>149</v>
      </c>
      <c r="K79" t="s">
        <v>276</v>
      </c>
      <c r="M79" t="s">
        <v>277</v>
      </c>
      <c r="N79" t="s">
        <v>253</v>
      </c>
      <c r="O79" t="s">
        <v>278</v>
      </c>
      <c r="P79" t="s">
        <v>296</v>
      </c>
    </row>
    <row r="80" spans="1:16">
      <c r="A80" t="s">
        <v>248</v>
      </c>
      <c r="B80" t="s">
        <v>45</v>
      </c>
      <c r="C80">
        <v>77</v>
      </c>
      <c r="D80" t="s">
        <v>120</v>
      </c>
      <c r="E80">
        <v>15.012814971398971</v>
      </c>
      <c r="F80" t="s">
        <v>272</v>
      </c>
      <c r="G80" t="s">
        <v>273</v>
      </c>
      <c r="H80" t="s">
        <v>274</v>
      </c>
      <c r="I80" t="s">
        <v>275</v>
      </c>
      <c r="J80" t="s">
        <v>149</v>
      </c>
      <c r="K80" t="s">
        <v>276</v>
      </c>
      <c r="M80" t="s">
        <v>277</v>
      </c>
      <c r="N80" t="s">
        <v>253</v>
      </c>
      <c r="O80" t="s">
        <v>278</v>
      </c>
      <c r="P80" t="s">
        <v>296</v>
      </c>
    </row>
    <row r="81" spans="1:16">
      <c r="A81" t="s">
        <v>248</v>
      </c>
      <c r="B81" t="s">
        <v>119</v>
      </c>
      <c r="C81">
        <v>78</v>
      </c>
      <c r="D81" t="s">
        <v>120</v>
      </c>
      <c r="E81">
        <v>14.299555867227941</v>
      </c>
      <c r="F81" t="s">
        <v>272</v>
      </c>
      <c r="G81" t="s">
        <v>273</v>
      </c>
      <c r="H81" t="s">
        <v>274</v>
      </c>
      <c r="I81" t="s">
        <v>275</v>
      </c>
      <c r="J81" t="s">
        <v>149</v>
      </c>
      <c r="K81" t="s">
        <v>276</v>
      </c>
      <c r="M81" t="s">
        <v>277</v>
      </c>
      <c r="N81" t="s">
        <v>253</v>
      </c>
      <c r="O81" t="s">
        <v>278</v>
      </c>
      <c r="P81" t="s">
        <v>296</v>
      </c>
    </row>
    <row r="82" spans="1:16">
      <c r="A82" t="s">
        <v>248</v>
      </c>
      <c r="B82" t="s">
        <v>47</v>
      </c>
      <c r="C82">
        <v>79</v>
      </c>
      <c r="D82" t="s">
        <v>120</v>
      </c>
      <c r="E82">
        <v>16.115057977824641</v>
      </c>
      <c r="F82" t="s">
        <v>272</v>
      </c>
      <c r="G82" t="s">
        <v>273</v>
      </c>
      <c r="H82" t="s">
        <v>274</v>
      </c>
      <c r="I82" t="s">
        <v>275</v>
      </c>
      <c r="J82" t="s">
        <v>149</v>
      </c>
      <c r="K82" t="s">
        <v>276</v>
      </c>
      <c r="M82" t="s">
        <v>277</v>
      </c>
      <c r="N82" t="s">
        <v>253</v>
      </c>
      <c r="O82" t="s">
        <v>278</v>
      </c>
      <c r="P82" t="s">
        <v>296</v>
      </c>
    </row>
    <row r="83" spans="1:16">
      <c r="A83" t="s">
        <v>248</v>
      </c>
      <c r="B83" t="s">
        <v>289</v>
      </c>
      <c r="C83">
        <v>80</v>
      </c>
      <c r="D83" t="s">
        <v>120</v>
      </c>
      <c r="E83">
        <v>15.72122990509369</v>
      </c>
      <c r="F83" t="s">
        <v>272</v>
      </c>
      <c r="G83" t="s">
        <v>273</v>
      </c>
      <c r="H83" t="s">
        <v>274</v>
      </c>
      <c r="I83" t="s">
        <v>275</v>
      </c>
      <c r="J83" t="s">
        <v>149</v>
      </c>
      <c r="K83" t="s">
        <v>276</v>
      </c>
      <c r="M83" t="s">
        <v>277</v>
      </c>
      <c r="N83" t="s">
        <v>253</v>
      </c>
      <c r="O83" t="s">
        <v>278</v>
      </c>
      <c r="P83" t="s">
        <v>296</v>
      </c>
    </row>
    <row r="84" spans="1:16">
      <c r="A84" t="s">
        <v>248</v>
      </c>
      <c r="B84" t="s">
        <v>49</v>
      </c>
      <c r="C84">
        <v>81</v>
      </c>
      <c r="D84" t="s">
        <v>120</v>
      </c>
      <c r="E84">
        <v>14.9531586807078</v>
      </c>
      <c r="F84" t="s">
        <v>272</v>
      </c>
      <c r="G84" t="s">
        <v>273</v>
      </c>
      <c r="H84" t="s">
        <v>274</v>
      </c>
      <c r="I84" t="s">
        <v>275</v>
      </c>
      <c r="J84" t="s">
        <v>149</v>
      </c>
      <c r="K84" t="s">
        <v>276</v>
      </c>
      <c r="M84" t="s">
        <v>277</v>
      </c>
      <c r="N84" t="s">
        <v>253</v>
      </c>
      <c r="O84" t="s">
        <v>278</v>
      </c>
      <c r="P84" t="s">
        <v>296</v>
      </c>
    </row>
    <row r="85" spans="1:16">
      <c r="A85" t="s">
        <v>248</v>
      </c>
      <c r="B85" t="s">
        <v>290</v>
      </c>
      <c r="C85">
        <v>82</v>
      </c>
      <c r="D85" t="s">
        <v>120</v>
      </c>
      <c r="E85">
        <v>15.410852681885761</v>
      </c>
      <c r="F85" t="s">
        <v>272</v>
      </c>
      <c r="G85" t="s">
        <v>273</v>
      </c>
      <c r="H85" t="s">
        <v>274</v>
      </c>
      <c r="I85" t="s">
        <v>275</v>
      </c>
      <c r="J85" t="s">
        <v>149</v>
      </c>
      <c r="K85" t="s">
        <v>276</v>
      </c>
      <c r="M85" t="s">
        <v>277</v>
      </c>
      <c r="N85" t="s">
        <v>253</v>
      </c>
      <c r="O85" t="s">
        <v>278</v>
      </c>
      <c r="P85" t="s">
        <v>296</v>
      </c>
    </row>
    <row r="86" spans="1:16">
      <c r="A86" t="s">
        <v>248</v>
      </c>
      <c r="B86" t="s">
        <v>51</v>
      </c>
      <c r="C86">
        <v>83</v>
      </c>
      <c r="D86" t="s">
        <v>120</v>
      </c>
      <c r="E86">
        <v>14.433901325936141</v>
      </c>
      <c r="F86" t="s">
        <v>272</v>
      </c>
      <c r="G86" t="s">
        <v>273</v>
      </c>
      <c r="H86" t="s">
        <v>274</v>
      </c>
      <c r="I86" t="s">
        <v>275</v>
      </c>
      <c r="J86" t="s">
        <v>149</v>
      </c>
      <c r="K86" t="s">
        <v>276</v>
      </c>
      <c r="M86" t="s">
        <v>277</v>
      </c>
      <c r="N86" t="s">
        <v>253</v>
      </c>
      <c r="O86" t="s">
        <v>278</v>
      </c>
      <c r="P86" t="s">
        <v>296</v>
      </c>
    </row>
    <row r="87" spans="1:16">
      <c r="A87" t="s">
        <v>248</v>
      </c>
      <c r="B87" t="s">
        <v>52</v>
      </c>
      <c r="C87">
        <v>84</v>
      </c>
      <c r="D87" t="s">
        <v>120</v>
      </c>
      <c r="E87">
        <v>15.137504009732311</v>
      </c>
      <c r="F87" t="s">
        <v>272</v>
      </c>
      <c r="G87" t="s">
        <v>273</v>
      </c>
      <c r="H87" t="s">
        <v>274</v>
      </c>
      <c r="I87" t="s">
        <v>275</v>
      </c>
      <c r="J87" t="s">
        <v>149</v>
      </c>
      <c r="K87" t="s">
        <v>276</v>
      </c>
      <c r="M87" t="s">
        <v>277</v>
      </c>
      <c r="N87" t="s">
        <v>253</v>
      </c>
      <c r="O87" t="s">
        <v>278</v>
      </c>
      <c r="P87" t="s">
        <v>296</v>
      </c>
    </row>
    <row r="88" spans="1:16">
      <c r="A88" t="s">
        <v>248</v>
      </c>
      <c r="B88" t="s">
        <v>291</v>
      </c>
      <c r="C88">
        <v>85</v>
      </c>
      <c r="D88" t="s">
        <v>120</v>
      </c>
      <c r="E88">
        <v>14.205652949942429</v>
      </c>
      <c r="F88" t="s">
        <v>272</v>
      </c>
      <c r="G88" t="s">
        <v>273</v>
      </c>
      <c r="H88" t="s">
        <v>274</v>
      </c>
      <c r="I88" t="s">
        <v>275</v>
      </c>
      <c r="J88" t="s">
        <v>149</v>
      </c>
      <c r="K88" t="s">
        <v>276</v>
      </c>
      <c r="M88" t="s">
        <v>277</v>
      </c>
      <c r="N88" t="s">
        <v>253</v>
      </c>
      <c r="O88" t="s">
        <v>278</v>
      </c>
      <c r="P88" t="s">
        <v>296</v>
      </c>
    </row>
    <row r="89" spans="1:16">
      <c r="A89" t="s">
        <v>248</v>
      </c>
      <c r="B89" t="s">
        <v>54</v>
      </c>
      <c r="C89">
        <v>86</v>
      </c>
      <c r="D89" t="s">
        <v>120</v>
      </c>
      <c r="E89">
        <v>12.97958446731856</v>
      </c>
      <c r="F89" t="s">
        <v>272</v>
      </c>
      <c r="G89" t="s">
        <v>273</v>
      </c>
      <c r="H89" t="s">
        <v>274</v>
      </c>
      <c r="I89" t="s">
        <v>275</v>
      </c>
      <c r="J89" t="s">
        <v>149</v>
      </c>
      <c r="K89" t="s">
        <v>276</v>
      </c>
      <c r="M89" t="s">
        <v>277</v>
      </c>
      <c r="N89" t="s">
        <v>253</v>
      </c>
      <c r="O89" t="s">
        <v>278</v>
      </c>
      <c r="P89" t="s">
        <v>296</v>
      </c>
    </row>
    <row r="90" spans="1:16">
      <c r="A90" t="s">
        <v>248</v>
      </c>
      <c r="B90" t="s">
        <v>292</v>
      </c>
      <c r="C90">
        <v>87</v>
      </c>
      <c r="D90" t="s">
        <v>120</v>
      </c>
      <c r="E90">
        <v>13.61667618628694</v>
      </c>
      <c r="F90" t="s">
        <v>272</v>
      </c>
      <c r="G90" t="s">
        <v>273</v>
      </c>
      <c r="H90" t="s">
        <v>274</v>
      </c>
      <c r="I90" t="s">
        <v>275</v>
      </c>
      <c r="J90" t="s">
        <v>149</v>
      </c>
      <c r="K90" t="s">
        <v>276</v>
      </c>
      <c r="M90" t="s">
        <v>277</v>
      </c>
      <c r="N90" t="s">
        <v>253</v>
      </c>
      <c r="O90" t="s">
        <v>278</v>
      </c>
      <c r="P90" t="s">
        <v>296</v>
      </c>
    </row>
    <row r="91" spans="1:16">
      <c r="A91" t="s">
        <v>248</v>
      </c>
      <c r="B91" t="s">
        <v>56</v>
      </c>
      <c r="C91">
        <v>88</v>
      </c>
      <c r="D91" t="s">
        <v>120</v>
      </c>
      <c r="E91">
        <v>13.59760812713467</v>
      </c>
      <c r="F91" t="s">
        <v>272</v>
      </c>
      <c r="G91" t="s">
        <v>273</v>
      </c>
      <c r="H91" t="s">
        <v>274</v>
      </c>
      <c r="I91" t="s">
        <v>275</v>
      </c>
      <c r="J91" t="s">
        <v>149</v>
      </c>
      <c r="K91" t="s">
        <v>276</v>
      </c>
      <c r="M91" t="s">
        <v>277</v>
      </c>
      <c r="N91" t="s">
        <v>253</v>
      </c>
      <c r="O91" t="s">
        <v>278</v>
      </c>
      <c r="P91" t="s">
        <v>296</v>
      </c>
    </row>
    <row r="92" spans="1:16">
      <c r="A92" t="s">
        <v>248</v>
      </c>
      <c r="B92" t="s">
        <v>57</v>
      </c>
      <c r="C92">
        <v>89</v>
      </c>
      <c r="D92" t="s">
        <v>120</v>
      </c>
      <c r="E92">
        <v>9.3224576668520349</v>
      </c>
      <c r="F92" t="s">
        <v>272</v>
      </c>
      <c r="G92" t="s">
        <v>273</v>
      </c>
      <c r="H92" t="s">
        <v>274</v>
      </c>
      <c r="I92" t="s">
        <v>275</v>
      </c>
      <c r="J92" t="s">
        <v>149</v>
      </c>
      <c r="K92" t="s">
        <v>276</v>
      </c>
      <c r="M92" t="s">
        <v>277</v>
      </c>
      <c r="N92" t="s">
        <v>253</v>
      </c>
      <c r="O92" t="s">
        <v>278</v>
      </c>
      <c r="P92" t="s">
        <v>296</v>
      </c>
    </row>
    <row r="93" spans="1:16">
      <c r="A93" t="s">
        <v>248</v>
      </c>
      <c r="B93" t="s">
        <v>293</v>
      </c>
      <c r="C93">
        <v>90</v>
      </c>
      <c r="D93" t="s">
        <v>120</v>
      </c>
      <c r="E93">
        <v>9.4856665509761164</v>
      </c>
      <c r="F93" t="s">
        <v>272</v>
      </c>
      <c r="G93" t="s">
        <v>273</v>
      </c>
      <c r="H93" t="s">
        <v>274</v>
      </c>
      <c r="I93" t="s">
        <v>275</v>
      </c>
      <c r="J93" t="s">
        <v>149</v>
      </c>
      <c r="K93" t="s">
        <v>276</v>
      </c>
      <c r="M93" t="s">
        <v>277</v>
      </c>
      <c r="N93" t="s">
        <v>253</v>
      </c>
      <c r="O93" t="s">
        <v>278</v>
      </c>
      <c r="P93" t="s">
        <v>296</v>
      </c>
    </row>
    <row r="94" spans="1:16">
      <c r="A94" t="s">
        <v>248</v>
      </c>
      <c r="B94" t="s">
        <v>59</v>
      </c>
      <c r="C94">
        <v>91</v>
      </c>
      <c r="D94" t="s">
        <v>120</v>
      </c>
      <c r="E94">
        <v>9.0441107849717426</v>
      </c>
      <c r="F94" t="s">
        <v>272</v>
      </c>
      <c r="G94" t="s">
        <v>273</v>
      </c>
      <c r="H94" t="s">
        <v>274</v>
      </c>
      <c r="I94" t="s">
        <v>275</v>
      </c>
      <c r="J94" t="s">
        <v>149</v>
      </c>
      <c r="K94" t="s">
        <v>276</v>
      </c>
      <c r="M94" t="s">
        <v>277</v>
      </c>
      <c r="N94" t="s">
        <v>253</v>
      </c>
      <c r="O94" t="s">
        <v>278</v>
      </c>
      <c r="P94" t="s">
        <v>296</v>
      </c>
    </row>
    <row r="95" spans="1:16">
      <c r="A95" t="s">
        <v>248</v>
      </c>
      <c r="B95" t="s">
        <v>294</v>
      </c>
      <c r="C95">
        <v>92</v>
      </c>
      <c r="D95" t="s">
        <v>120</v>
      </c>
      <c r="E95">
        <v>8.7673923976307755</v>
      </c>
      <c r="F95" t="s">
        <v>272</v>
      </c>
      <c r="G95" t="s">
        <v>273</v>
      </c>
      <c r="H95" t="s">
        <v>274</v>
      </c>
      <c r="I95" t="s">
        <v>275</v>
      </c>
      <c r="J95" t="s">
        <v>149</v>
      </c>
      <c r="K95" t="s">
        <v>276</v>
      </c>
      <c r="M95" t="s">
        <v>277</v>
      </c>
      <c r="N95" t="s">
        <v>253</v>
      </c>
      <c r="O95" t="s">
        <v>278</v>
      </c>
      <c r="P95" t="s">
        <v>296</v>
      </c>
    </row>
    <row r="96" spans="1:16">
      <c r="A96" t="s">
        <v>248</v>
      </c>
      <c r="B96" t="s">
        <v>61</v>
      </c>
      <c r="C96">
        <v>93</v>
      </c>
      <c r="D96" t="s">
        <v>120</v>
      </c>
      <c r="E96">
        <v>10.292742303539031</v>
      </c>
      <c r="F96" t="s">
        <v>272</v>
      </c>
      <c r="G96" t="s">
        <v>273</v>
      </c>
      <c r="H96" t="s">
        <v>274</v>
      </c>
      <c r="I96" t="s">
        <v>275</v>
      </c>
      <c r="J96" t="s">
        <v>149</v>
      </c>
      <c r="K96" t="s">
        <v>276</v>
      </c>
      <c r="M96" t="s">
        <v>277</v>
      </c>
      <c r="N96" t="s">
        <v>253</v>
      </c>
      <c r="O96" t="s">
        <v>278</v>
      </c>
      <c r="P96" t="s">
        <v>297</v>
      </c>
    </row>
    <row r="97" spans="1:16">
      <c r="A97" t="s">
        <v>248</v>
      </c>
      <c r="B97" t="s">
        <v>62</v>
      </c>
      <c r="C97">
        <v>94</v>
      </c>
      <c r="D97" t="s">
        <v>120</v>
      </c>
      <c r="E97">
        <v>9.2955515743226176</v>
      </c>
      <c r="F97" t="s">
        <v>272</v>
      </c>
      <c r="G97" t="s">
        <v>273</v>
      </c>
      <c r="H97" t="s">
        <v>274</v>
      </c>
      <c r="I97" t="s">
        <v>275</v>
      </c>
      <c r="J97" t="s">
        <v>149</v>
      </c>
      <c r="K97" t="s">
        <v>276</v>
      </c>
      <c r="M97" t="s">
        <v>277</v>
      </c>
      <c r="N97" t="s">
        <v>253</v>
      </c>
      <c r="O97" t="s">
        <v>278</v>
      </c>
      <c r="P97" t="s">
        <v>297</v>
      </c>
    </row>
    <row r="98" spans="1:16">
      <c r="A98" t="s">
        <v>248</v>
      </c>
      <c r="B98" t="s">
        <v>63</v>
      </c>
      <c r="C98">
        <v>95</v>
      </c>
      <c r="D98" t="s">
        <v>120</v>
      </c>
      <c r="E98">
        <v>9.3269027051557156</v>
      </c>
      <c r="F98" t="s">
        <v>272</v>
      </c>
      <c r="G98" t="s">
        <v>273</v>
      </c>
      <c r="H98" t="s">
        <v>274</v>
      </c>
      <c r="I98" t="s">
        <v>275</v>
      </c>
      <c r="J98" t="s">
        <v>149</v>
      </c>
      <c r="K98" t="s">
        <v>276</v>
      </c>
      <c r="M98" t="s">
        <v>277</v>
      </c>
      <c r="N98" t="s">
        <v>253</v>
      </c>
      <c r="O98" t="s">
        <v>278</v>
      </c>
      <c r="P98" t="s">
        <v>297</v>
      </c>
    </row>
    <row r="99" spans="1:16">
      <c r="A99" t="s">
        <v>248</v>
      </c>
      <c r="B99" t="s">
        <v>64</v>
      </c>
      <c r="C99">
        <v>96</v>
      </c>
      <c r="D99" t="s">
        <v>120</v>
      </c>
      <c r="E99">
        <v>6.9084342905250322</v>
      </c>
      <c r="F99" t="s">
        <v>272</v>
      </c>
      <c r="G99" t="s">
        <v>273</v>
      </c>
      <c r="H99" t="s">
        <v>274</v>
      </c>
      <c r="I99" t="s">
        <v>275</v>
      </c>
      <c r="J99" t="s">
        <v>149</v>
      </c>
      <c r="K99" t="s">
        <v>276</v>
      </c>
      <c r="M99" t="s">
        <v>277</v>
      </c>
      <c r="N99" t="s">
        <v>253</v>
      </c>
      <c r="O99" t="s">
        <v>278</v>
      </c>
      <c r="P99" t="s">
        <v>297</v>
      </c>
    </row>
    <row r="100" spans="1:16">
      <c r="A100" t="s">
        <v>248</v>
      </c>
      <c r="B100" t="s">
        <v>26</v>
      </c>
      <c r="C100">
        <v>48</v>
      </c>
      <c r="D100" t="s">
        <v>121</v>
      </c>
      <c r="E100">
        <v>36.955551757011357</v>
      </c>
      <c r="F100" t="s">
        <v>272</v>
      </c>
      <c r="G100" t="s">
        <v>273</v>
      </c>
      <c r="H100" t="s">
        <v>274</v>
      </c>
      <c r="I100" t="s">
        <v>275</v>
      </c>
      <c r="J100" t="s">
        <v>149</v>
      </c>
      <c r="K100" t="s">
        <v>276</v>
      </c>
      <c r="M100" t="s">
        <v>277</v>
      </c>
      <c r="N100" t="s">
        <v>253</v>
      </c>
      <c r="O100" t="s">
        <v>278</v>
      </c>
      <c r="P100" t="s">
        <v>279</v>
      </c>
    </row>
    <row r="101" spans="1:16">
      <c r="A101" t="s">
        <v>248</v>
      </c>
      <c r="B101" t="s">
        <v>280</v>
      </c>
      <c r="C101">
        <v>49</v>
      </c>
      <c r="D101" t="s">
        <v>121</v>
      </c>
      <c r="E101">
        <v>30.992267429171271</v>
      </c>
      <c r="F101" t="s">
        <v>272</v>
      </c>
      <c r="G101" t="s">
        <v>273</v>
      </c>
      <c r="H101" t="s">
        <v>274</v>
      </c>
      <c r="I101" t="s">
        <v>275</v>
      </c>
      <c r="J101" t="s">
        <v>149</v>
      </c>
      <c r="K101" t="s">
        <v>276</v>
      </c>
      <c r="M101" t="s">
        <v>277</v>
      </c>
      <c r="N101" t="s">
        <v>253</v>
      </c>
      <c r="O101" t="s">
        <v>278</v>
      </c>
      <c r="P101" t="s">
        <v>279</v>
      </c>
    </row>
    <row r="102" spans="1:16">
      <c r="A102" t="s">
        <v>248</v>
      </c>
      <c r="B102" t="s">
        <v>27</v>
      </c>
      <c r="C102">
        <v>50</v>
      </c>
      <c r="D102" t="s">
        <v>121</v>
      </c>
      <c r="E102">
        <v>34.22640428050633</v>
      </c>
      <c r="F102" t="s">
        <v>272</v>
      </c>
      <c r="G102" t="s">
        <v>273</v>
      </c>
      <c r="H102" t="s">
        <v>274</v>
      </c>
      <c r="I102" t="s">
        <v>275</v>
      </c>
      <c r="J102" t="s">
        <v>149</v>
      </c>
      <c r="K102" t="s">
        <v>276</v>
      </c>
      <c r="M102" t="s">
        <v>277</v>
      </c>
      <c r="N102" t="s">
        <v>253</v>
      </c>
      <c r="O102" t="s">
        <v>278</v>
      </c>
      <c r="P102" t="s">
        <v>279</v>
      </c>
    </row>
    <row r="103" spans="1:16">
      <c r="A103" t="s">
        <v>248</v>
      </c>
      <c r="B103" t="s">
        <v>281</v>
      </c>
      <c r="C103">
        <v>51</v>
      </c>
      <c r="D103" t="s">
        <v>121</v>
      </c>
      <c r="E103">
        <v>30.543698084558361</v>
      </c>
      <c r="F103" t="s">
        <v>272</v>
      </c>
      <c r="G103" t="s">
        <v>273</v>
      </c>
      <c r="H103" t="s">
        <v>274</v>
      </c>
      <c r="I103" t="s">
        <v>275</v>
      </c>
      <c r="J103" t="s">
        <v>149</v>
      </c>
      <c r="K103" t="s">
        <v>276</v>
      </c>
      <c r="M103" t="s">
        <v>277</v>
      </c>
      <c r="N103" t="s">
        <v>253</v>
      </c>
      <c r="O103" t="s">
        <v>278</v>
      </c>
      <c r="P103" t="s">
        <v>279</v>
      </c>
    </row>
    <row r="104" spans="1:16">
      <c r="A104" t="s">
        <v>248</v>
      </c>
      <c r="B104" t="s">
        <v>28</v>
      </c>
      <c r="C104">
        <v>52</v>
      </c>
      <c r="D104" t="s">
        <v>121</v>
      </c>
      <c r="E104">
        <v>30.78030784189254</v>
      </c>
      <c r="F104" t="s">
        <v>272</v>
      </c>
      <c r="G104" t="s">
        <v>273</v>
      </c>
      <c r="H104" t="s">
        <v>274</v>
      </c>
      <c r="I104" t="s">
        <v>275</v>
      </c>
      <c r="J104" t="s">
        <v>149</v>
      </c>
      <c r="K104" t="s">
        <v>276</v>
      </c>
      <c r="M104" t="s">
        <v>277</v>
      </c>
      <c r="N104" t="s">
        <v>253</v>
      </c>
      <c r="O104" t="s">
        <v>278</v>
      </c>
      <c r="P104" t="s">
        <v>279</v>
      </c>
    </row>
    <row r="105" spans="1:16">
      <c r="A105" t="s">
        <v>248</v>
      </c>
      <c r="B105" t="s">
        <v>29</v>
      </c>
      <c r="C105">
        <v>53</v>
      </c>
      <c r="D105" t="s">
        <v>121</v>
      </c>
      <c r="E105">
        <v>25.185193090200158</v>
      </c>
      <c r="F105" t="s">
        <v>272</v>
      </c>
      <c r="G105" t="s">
        <v>273</v>
      </c>
      <c r="H105" t="s">
        <v>274</v>
      </c>
      <c r="I105" t="s">
        <v>275</v>
      </c>
      <c r="J105" t="s">
        <v>149</v>
      </c>
      <c r="K105" t="s">
        <v>276</v>
      </c>
      <c r="M105" t="s">
        <v>277</v>
      </c>
      <c r="N105" t="s">
        <v>253</v>
      </c>
      <c r="O105" t="s">
        <v>278</v>
      </c>
      <c r="P105" t="s">
        <v>279</v>
      </c>
    </row>
    <row r="106" spans="1:16">
      <c r="A106" t="s">
        <v>248</v>
      </c>
      <c r="B106" t="s">
        <v>282</v>
      </c>
      <c r="C106">
        <v>54</v>
      </c>
      <c r="D106" t="s">
        <v>121</v>
      </c>
      <c r="E106">
        <v>25.514875675075459</v>
      </c>
      <c r="F106" t="s">
        <v>272</v>
      </c>
      <c r="G106" t="s">
        <v>273</v>
      </c>
      <c r="H106" t="s">
        <v>274</v>
      </c>
      <c r="I106" t="s">
        <v>275</v>
      </c>
      <c r="J106" t="s">
        <v>149</v>
      </c>
      <c r="K106" t="s">
        <v>276</v>
      </c>
      <c r="M106" t="s">
        <v>277</v>
      </c>
      <c r="N106" t="s">
        <v>253</v>
      </c>
      <c r="O106" t="s">
        <v>278</v>
      </c>
      <c r="P106" t="s">
        <v>279</v>
      </c>
    </row>
    <row r="107" spans="1:16">
      <c r="A107" t="s">
        <v>248</v>
      </c>
      <c r="B107" t="s">
        <v>30</v>
      </c>
      <c r="C107">
        <v>55</v>
      </c>
      <c r="D107" t="s">
        <v>121</v>
      </c>
      <c r="E107">
        <v>32.031396960265887</v>
      </c>
      <c r="F107" t="s">
        <v>272</v>
      </c>
      <c r="G107" t="s">
        <v>273</v>
      </c>
      <c r="H107" t="s">
        <v>274</v>
      </c>
      <c r="I107" t="s">
        <v>275</v>
      </c>
      <c r="J107" t="s">
        <v>149</v>
      </c>
      <c r="K107" t="s">
        <v>276</v>
      </c>
      <c r="M107" t="s">
        <v>277</v>
      </c>
      <c r="N107" t="s">
        <v>253</v>
      </c>
      <c r="O107" t="s">
        <v>278</v>
      </c>
      <c r="P107" t="s">
        <v>279</v>
      </c>
    </row>
    <row r="108" spans="1:16">
      <c r="A108" t="s">
        <v>248</v>
      </c>
      <c r="B108" t="s">
        <v>283</v>
      </c>
      <c r="C108">
        <v>56</v>
      </c>
      <c r="D108" t="s">
        <v>121</v>
      </c>
      <c r="E108">
        <v>25.612133480532979</v>
      </c>
      <c r="F108" t="s">
        <v>272</v>
      </c>
      <c r="G108" t="s">
        <v>273</v>
      </c>
      <c r="H108" t="s">
        <v>274</v>
      </c>
      <c r="I108" t="s">
        <v>275</v>
      </c>
      <c r="J108" t="s">
        <v>149</v>
      </c>
      <c r="K108" t="s">
        <v>276</v>
      </c>
      <c r="M108" t="s">
        <v>277</v>
      </c>
      <c r="N108" t="s">
        <v>253</v>
      </c>
      <c r="O108" t="s">
        <v>278</v>
      </c>
      <c r="P108" t="s">
        <v>279</v>
      </c>
    </row>
    <row r="109" spans="1:16">
      <c r="A109" t="s">
        <v>248</v>
      </c>
      <c r="B109" t="s">
        <v>31</v>
      </c>
      <c r="C109">
        <v>57</v>
      </c>
      <c r="D109" t="s">
        <v>121</v>
      </c>
      <c r="E109">
        <v>21.058687151294631</v>
      </c>
      <c r="F109" t="s">
        <v>272</v>
      </c>
      <c r="G109" t="s">
        <v>273</v>
      </c>
      <c r="H109" t="s">
        <v>274</v>
      </c>
      <c r="I109" t="s">
        <v>275</v>
      </c>
      <c r="J109" t="s">
        <v>149</v>
      </c>
      <c r="K109" t="s">
        <v>276</v>
      </c>
      <c r="M109" t="s">
        <v>277</v>
      </c>
      <c r="N109" t="s">
        <v>253</v>
      </c>
      <c r="O109" t="s">
        <v>278</v>
      </c>
      <c r="P109" t="s">
        <v>279</v>
      </c>
    </row>
    <row r="110" spans="1:16">
      <c r="A110" t="s">
        <v>248</v>
      </c>
      <c r="B110" t="s">
        <v>284</v>
      </c>
      <c r="C110">
        <v>58</v>
      </c>
      <c r="D110" t="s">
        <v>121</v>
      </c>
      <c r="E110">
        <v>24.48556635054209</v>
      </c>
      <c r="F110" t="s">
        <v>272</v>
      </c>
      <c r="G110" t="s">
        <v>273</v>
      </c>
      <c r="H110" t="s">
        <v>274</v>
      </c>
      <c r="I110" t="s">
        <v>275</v>
      </c>
      <c r="J110" t="s">
        <v>149</v>
      </c>
      <c r="K110" t="s">
        <v>276</v>
      </c>
      <c r="M110" t="s">
        <v>277</v>
      </c>
      <c r="N110" t="s">
        <v>253</v>
      </c>
      <c r="O110" t="s">
        <v>278</v>
      </c>
      <c r="P110" t="s">
        <v>279</v>
      </c>
    </row>
    <row r="111" spans="1:16">
      <c r="A111" t="s">
        <v>248</v>
      </c>
      <c r="B111" t="s">
        <v>32</v>
      </c>
      <c r="C111">
        <v>59</v>
      </c>
      <c r="D111" t="s">
        <v>121</v>
      </c>
      <c r="E111">
        <v>25.591894387098481</v>
      </c>
      <c r="F111" t="s">
        <v>272</v>
      </c>
      <c r="G111" t="s">
        <v>273</v>
      </c>
      <c r="H111" t="s">
        <v>274</v>
      </c>
      <c r="I111" t="s">
        <v>275</v>
      </c>
      <c r="J111" t="s">
        <v>149</v>
      </c>
      <c r="K111" t="s">
        <v>276</v>
      </c>
      <c r="M111" t="s">
        <v>277</v>
      </c>
      <c r="N111" t="s">
        <v>253</v>
      </c>
      <c r="O111" t="s">
        <v>278</v>
      </c>
      <c r="P111" t="s">
        <v>279</v>
      </c>
    </row>
    <row r="112" spans="1:16">
      <c r="A112" t="s">
        <v>248</v>
      </c>
      <c r="B112" t="s">
        <v>33</v>
      </c>
      <c r="C112">
        <v>60</v>
      </c>
      <c r="D112" t="s">
        <v>121</v>
      </c>
      <c r="E112">
        <v>27.587688520682491</v>
      </c>
      <c r="F112" t="s">
        <v>272</v>
      </c>
      <c r="G112" t="s">
        <v>273</v>
      </c>
      <c r="H112" t="s">
        <v>274</v>
      </c>
      <c r="I112" t="s">
        <v>275</v>
      </c>
      <c r="J112" t="s">
        <v>149</v>
      </c>
      <c r="K112" t="s">
        <v>276</v>
      </c>
      <c r="M112" t="s">
        <v>277</v>
      </c>
      <c r="N112" t="s">
        <v>253</v>
      </c>
      <c r="O112" t="s">
        <v>278</v>
      </c>
      <c r="P112" t="s">
        <v>279</v>
      </c>
    </row>
    <row r="113" spans="1:16">
      <c r="A113" t="s">
        <v>248</v>
      </c>
      <c r="B113" t="s">
        <v>285</v>
      </c>
      <c r="C113">
        <v>61</v>
      </c>
      <c r="D113" t="s">
        <v>121</v>
      </c>
      <c r="E113">
        <v>25.156168235346751</v>
      </c>
      <c r="F113" t="s">
        <v>272</v>
      </c>
      <c r="G113" t="s">
        <v>273</v>
      </c>
      <c r="H113" t="s">
        <v>274</v>
      </c>
      <c r="I113" t="s">
        <v>275</v>
      </c>
      <c r="J113" t="s">
        <v>149</v>
      </c>
      <c r="K113" t="s">
        <v>276</v>
      </c>
      <c r="M113" t="s">
        <v>277</v>
      </c>
      <c r="N113" t="s">
        <v>253</v>
      </c>
      <c r="O113" t="s">
        <v>278</v>
      </c>
      <c r="P113" t="s">
        <v>279</v>
      </c>
    </row>
    <row r="114" spans="1:16">
      <c r="A114" t="s">
        <v>248</v>
      </c>
      <c r="B114" t="s">
        <v>34</v>
      </c>
      <c r="C114">
        <v>62</v>
      </c>
      <c r="D114" t="s">
        <v>121</v>
      </c>
      <c r="E114">
        <v>26.368943907977279</v>
      </c>
      <c r="F114" t="s">
        <v>272</v>
      </c>
      <c r="G114" t="s">
        <v>273</v>
      </c>
      <c r="H114" t="s">
        <v>274</v>
      </c>
      <c r="I114" t="s">
        <v>275</v>
      </c>
      <c r="J114" t="s">
        <v>149</v>
      </c>
      <c r="K114" t="s">
        <v>276</v>
      </c>
      <c r="M114" t="s">
        <v>277</v>
      </c>
      <c r="N114" t="s">
        <v>253</v>
      </c>
      <c r="O114" t="s">
        <v>278</v>
      </c>
      <c r="P114" t="s">
        <v>279</v>
      </c>
    </row>
    <row r="115" spans="1:16">
      <c r="A115" t="s">
        <v>248</v>
      </c>
      <c r="B115" t="s">
        <v>116</v>
      </c>
      <c r="C115">
        <v>63</v>
      </c>
      <c r="D115" t="s">
        <v>121</v>
      </c>
      <c r="E115">
        <v>22.554467184568281</v>
      </c>
      <c r="F115" t="s">
        <v>272</v>
      </c>
      <c r="G115" t="s">
        <v>273</v>
      </c>
      <c r="H115" t="s">
        <v>274</v>
      </c>
      <c r="I115" t="s">
        <v>275</v>
      </c>
      <c r="J115" t="s">
        <v>149</v>
      </c>
      <c r="K115" t="s">
        <v>276</v>
      </c>
      <c r="M115" t="s">
        <v>277</v>
      </c>
      <c r="N115" t="s">
        <v>253</v>
      </c>
      <c r="O115" t="s">
        <v>278</v>
      </c>
      <c r="P115" t="s">
        <v>279</v>
      </c>
    </row>
    <row r="116" spans="1:16">
      <c r="A116" t="s">
        <v>248</v>
      </c>
      <c r="B116" t="s">
        <v>35</v>
      </c>
      <c r="C116">
        <v>64</v>
      </c>
      <c r="D116" t="s">
        <v>121</v>
      </c>
      <c r="E116">
        <v>21.160859168576518</v>
      </c>
      <c r="F116" t="s">
        <v>272</v>
      </c>
      <c r="G116" t="s">
        <v>273</v>
      </c>
      <c r="H116" t="s">
        <v>274</v>
      </c>
      <c r="I116" t="s">
        <v>275</v>
      </c>
      <c r="J116" t="s">
        <v>149</v>
      </c>
      <c r="K116" t="s">
        <v>276</v>
      </c>
      <c r="M116" t="s">
        <v>277</v>
      </c>
      <c r="N116" t="s">
        <v>253</v>
      </c>
      <c r="O116" t="s">
        <v>278</v>
      </c>
      <c r="P116" t="s">
        <v>279</v>
      </c>
    </row>
    <row r="117" spans="1:16">
      <c r="A117" t="s">
        <v>248</v>
      </c>
      <c r="B117" t="s">
        <v>36</v>
      </c>
      <c r="C117">
        <v>65</v>
      </c>
      <c r="D117" t="s">
        <v>121</v>
      </c>
      <c r="E117">
        <v>18.17300275276833</v>
      </c>
      <c r="F117" t="s">
        <v>272</v>
      </c>
      <c r="G117" t="s">
        <v>273</v>
      </c>
      <c r="H117" t="s">
        <v>274</v>
      </c>
      <c r="I117" t="s">
        <v>275</v>
      </c>
      <c r="J117" t="s">
        <v>149</v>
      </c>
      <c r="K117" t="s">
        <v>276</v>
      </c>
      <c r="M117" t="s">
        <v>277</v>
      </c>
      <c r="N117" t="s">
        <v>253</v>
      </c>
      <c r="O117" t="s">
        <v>278</v>
      </c>
      <c r="P117" t="s">
        <v>279</v>
      </c>
    </row>
    <row r="118" spans="1:16">
      <c r="A118" t="s">
        <v>248</v>
      </c>
      <c r="B118" t="s">
        <v>286</v>
      </c>
      <c r="C118">
        <v>66</v>
      </c>
      <c r="D118" t="s">
        <v>121</v>
      </c>
      <c r="E118">
        <v>21.282439184717639</v>
      </c>
      <c r="F118" t="s">
        <v>272</v>
      </c>
      <c r="G118" t="s">
        <v>273</v>
      </c>
      <c r="H118" t="s">
        <v>274</v>
      </c>
      <c r="I118" t="s">
        <v>275</v>
      </c>
      <c r="J118" t="s">
        <v>149</v>
      </c>
      <c r="K118" t="s">
        <v>276</v>
      </c>
      <c r="M118" t="s">
        <v>277</v>
      </c>
      <c r="N118" t="s">
        <v>253</v>
      </c>
      <c r="O118" t="s">
        <v>278</v>
      </c>
      <c r="P118" t="s">
        <v>279</v>
      </c>
    </row>
    <row r="119" spans="1:16">
      <c r="A119" t="s">
        <v>248</v>
      </c>
      <c r="B119" t="s">
        <v>37</v>
      </c>
      <c r="C119">
        <v>67</v>
      </c>
      <c r="D119" t="s">
        <v>121</v>
      </c>
      <c r="E119">
        <v>24.428331872672821</v>
      </c>
      <c r="F119" t="s">
        <v>272</v>
      </c>
      <c r="G119" t="s">
        <v>273</v>
      </c>
      <c r="H119" t="s">
        <v>274</v>
      </c>
      <c r="I119" t="s">
        <v>275</v>
      </c>
      <c r="J119" t="s">
        <v>149</v>
      </c>
      <c r="K119" t="s">
        <v>276</v>
      </c>
      <c r="M119" t="s">
        <v>277</v>
      </c>
      <c r="N119" t="s">
        <v>253</v>
      </c>
      <c r="O119" t="s">
        <v>278</v>
      </c>
      <c r="P119" t="s">
        <v>279</v>
      </c>
    </row>
    <row r="120" spans="1:16">
      <c r="A120" t="s">
        <v>248</v>
      </c>
      <c r="B120" t="s">
        <v>287</v>
      </c>
      <c r="C120">
        <v>68</v>
      </c>
      <c r="D120" t="s">
        <v>121</v>
      </c>
      <c r="E120">
        <v>20.966681962152631</v>
      </c>
      <c r="F120" t="s">
        <v>272</v>
      </c>
      <c r="G120" t="s">
        <v>273</v>
      </c>
      <c r="H120" t="s">
        <v>274</v>
      </c>
      <c r="I120" t="s">
        <v>275</v>
      </c>
      <c r="J120" t="s">
        <v>149</v>
      </c>
      <c r="K120" t="s">
        <v>276</v>
      </c>
      <c r="M120" t="s">
        <v>277</v>
      </c>
      <c r="N120" t="s">
        <v>253</v>
      </c>
      <c r="O120" t="s">
        <v>278</v>
      </c>
      <c r="P120" t="s">
        <v>279</v>
      </c>
    </row>
    <row r="121" spans="1:16">
      <c r="A121" t="s">
        <v>248</v>
      </c>
      <c r="B121" t="s">
        <v>38</v>
      </c>
      <c r="C121">
        <v>69</v>
      </c>
      <c r="D121" t="s">
        <v>121</v>
      </c>
      <c r="E121">
        <v>21.841690925778138</v>
      </c>
      <c r="F121" t="s">
        <v>272</v>
      </c>
      <c r="G121" t="s">
        <v>273</v>
      </c>
      <c r="H121" t="s">
        <v>274</v>
      </c>
      <c r="I121" t="s">
        <v>275</v>
      </c>
      <c r="J121" t="s">
        <v>149</v>
      </c>
      <c r="K121" t="s">
        <v>276</v>
      </c>
      <c r="M121" t="s">
        <v>277</v>
      </c>
      <c r="N121" t="s">
        <v>253</v>
      </c>
      <c r="O121" t="s">
        <v>278</v>
      </c>
      <c r="P121" t="s">
        <v>279</v>
      </c>
    </row>
    <row r="122" spans="1:16">
      <c r="A122" t="s">
        <v>248</v>
      </c>
      <c r="B122" t="s">
        <v>288</v>
      </c>
      <c r="C122">
        <v>70</v>
      </c>
      <c r="D122" t="s">
        <v>121</v>
      </c>
      <c r="E122">
        <v>21.121450767393888</v>
      </c>
      <c r="F122" t="s">
        <v>272</v>
      </c>
      <c r="G122" t="s">
        <v>273</v>
      </c>
      <c r="H122" t="s">
        <v>274</v>
      </c>
      <c r="I122" t="s">
        <v>275</v>
      </c>
      <c r="J122" t="s">
        <v>149</v>
      </c>
      <c r="K122" t="s">
        <v>276</v>
      </c>
      <c r="M122" t="s">
        <v>277</v>
      </c>
      <c r="N122" t="s">
        <v>253</v>
      </c>
      <c r="O122" t="s">
        <v>278</v>
      </c>
      <c r="P122" t="s">
        <v>279</v>
      </c>
    </row>
    <row r="123" spans="1:16">
      <c r="A123" t="s">
        <v>248</v>
      </c>
      <c r="B123" t="s">
        <v>39</v>
      </c>
      <c r="C123">
        <v>71</v>
      </c>
      <c r="D123" t="s">
        <v>121</v>
      </c>
      <c r="E123">
        <v>20.016324539505401</v>
      </c>
      <c r="F123" t="s">
        <v>272</v>
      </c>
      <c r="G123" t="s">
        <v>273</v>
      </c>
      <c r="H123" t="s">
        <v>274</v>
      </c>
      <c r="I123" t="s">
        <v>275</v>
      </c>
      <c r="J123" t="s">
        <v>149</v>
      </c>
      <c r="K123" t="s">
        <v>276</v>
      </c>
      <c r="M123" t="s">
        <v>277</v>
      </c>
      <c r="N123" t="s">
        <v>253</v>
      </c>
      <c r="O123" t="s">
        <v>278</v>
      </c>
      <c r="P123" t="s">
        <v>279</v>
      </c>
    </row>
    <row r="124" spans="1:16">
      <c r="A124" t="s">
        <v>248</v>
      </c>
      <c r="B124" t="s">
        <v>40</v>
      </c>
      <c r="C124">
        <v>72</v>
      </c>
      <c r="D124" t="s">
        <v>121</v>
      </c>
      <c r="E124">
        <v>18.511895667774979</v>
      </c>
      <c r="F124" t="s">
        <v>272</v>
      </c>
      <c r="G124" t="s">
        <v>273</v>
      </c>
      <c r="H124" t="s">
        <v>274</v>
      </c>
      <c r="I124" t="s">
        <v>275</v>
      </c>
      <c r="J124" t="s">
        <v>149</v>
      </c>
      <c r="K124" t="s">
        <v>276</v>
      </c>
      <c r="M124" t="s">
        <v>277</v>
      </c>
      <c r="N124" t="s">
        <v>253</v>
      </c>
      <c r="O124" t="s">
        <v>278</v>
      </c>
      <c r="P124" t="s">
        <v>279</v>
      </c>
    </row>
    <row r="125" spans="1:16">
      <c r="A125" t="s">
        <v>248</v>
      </c>
      <c r="B125" t="s">
        <v>117</v>
      </c>
      <c r="C125">
        <v>73</v>
      </c>
      <c r="D125" t="s">
        <v>121</v>
      </c>
      <c r="E125">
        <v>18.00839582630454</v>
      </c>
      <c r="F125" t="s">
        <v>272</v>
      </c>
      <c r="G125" t="s">
        <v>273</v>
      </c>
      <c r="H125" t="s">
        <v>274</v>
      </c>
      <c r="I125" t="s">
        <v>275</v>
      </c>
      <c r="J125" t="s">
        <v>149</v>
      </c>
      <c r="K125" t="s">
        <v>276</v>
      </c>
      <c r="M125" t="s">
        <v>277</v>
      </c>
      <c r="N125" t="s">
        <v>253</v>
      </c>
      <c r="O125" t="s">
        <v>278</v>
      </c>
      <c r="P125" t="s">
        <v>279</v>
      </c>
    </row>
    <row r="126" spans="1:16">
      <c r="A126" t="s">
        <v>248</v>
      </c>
      <c r="B126" t="s">
        <v>42</v>
      </c>
      <c r="C126">
        <v>74</v>
      </c>
      <c r="D126" t="s">
        <v>121</v>
      </c>
      <c r="E126">
        <v>19.786640420445131</v>
      </c>
      <c r="F126" t="s">
        <v>272</v>
      </c>
      <c r="G126" t="s">
        <v>273</v>
      </c>
      <c r="H126" t="s">
        <v>274</v>
      </c>
      <c r="I126" t="s">
        <v>275</v>
      </c>
      <c r="J126" t="s">
        <v>149</v>
      </c>
      <c r="K126" t="s">
        <v>276</v>
      </c>
      <c r="M126" t="s">
        <v>277</v>
      </c>
      <c r="N126" t="s">
        <v>253</v>
      </c>
      <c r="O126" t="s">
        <v>278</v>
      </c>
      <c r="P126" t="s">
        <v>279</v>
      </c>
    </row>
    <row r="127" spans="1:16">
      <c r="A127" t="s">
        <v>248</v>
      </c>
      <c r="B127" t="s">
        <v>118</v>
      </c>
      <c r="C127">
        <v>75</v>
      </c>
      <c r="D127" t="s">
        <v>121</v>
      </c>
      <c r="E127">
        <v>18.227370039359069</v>
      </c>
      <c r="F127" t="s">
        <v>272</v>
      </c>
      <c r="G127" t="s">
        <v>273</v>
      </c>
      <c r="H127" t="s">
        <v>274</v>
      </c>
      <c r="I127" t="s">
        <v>275</v>
      </c>
      <c r="J127" t="s">
        <v>149</v>
      </c>
      <c r="K127" t="s">
        <v>276</v>
      </c>
      <c r="M127" t="s">
        <v>277</v>
      </c>
      <c r="N127" t="s">
        <v>253</v>
      </c>
      <c r="O127" t="s">
        <v>278</v>
      </c>
      <c r="P127" t="s">
        <v>279</v>
      </c>
    </row>
    <row r="128" spans="1:16">
      <c r="A128" t="s">
        <v>248</v>
      </c>
      <c r="B128" t="s">
        <v>44</v>
      </c>
      <c r="C128">
        <v>76</v>
      </c>
      <c r="D128" t="s">
        <v>121</v>
      </c>
      <c r="E128">
        <v>16.062001811528589</v>
      </c>
      <c r="F128" t="s">
        <v>272</v>
      </c>
      <c r="G128" t="s">
        <v>273</v>
      </c>
      <c r="H128" t="s">
        <v>274</v>
      </c>
      <c r="I128" t="s">
        <v>275</v>
      </c>
      <c r="J128" t="s">
        <v>149</v>
      </c>
      <c r="K128" t="s">
        <v>276</v>
      </c>
      <c r="M128" t="s">
        <v>277</v>
      </c>
      <c r="N128" t="s">
        <v>253</v>
      </c>
      <c r="O128" t="s">
        <v>278</v>
      </c>
      <c r="P128" t="s">
        <v>279</v>
      </c>
    </row>
    <row r="129" spans="1:16">
      <c r="A129" t="s">
        <v>248</v>
      </c>
      <c r="B129" t="s">
        <v>45</v>
      </c>
      <c r="C129">
        <v>77</v>
      </c>
      <c r="D129" t="s">
        <v>121</v>
      </c>
      <c r="E129">
        <v>15.5132348267169</v>
      </c>
      <c r="F129" t="s">
        <v>272</v>
      </c>
      <c r="G129" t="s">
        <v>273</v>
      </c>
      <c r="H129" t="s">
        <v>274</v>
      </c>
      <c r="I129" t="s">
        <v>275</v>
      </c>
      <c r="J129" t="s">
        <v>149</v>
      </c>
      <c r="K129" t="s">
        <v>276</v>
      </c>
      <c r="M129" t="s">
        <v>277</v>
      </c>
      <c r="N129" t="s">
        <v>253</v>
      </c>
      <c r="O129" t="s">
        <v>278</v>
      </c>
      <c r="P129" t="s">
        <v>279</v>
      </c>
    </row>
    <row r="130" spans="1:16">
      <c r="A130" t="s">
        <v>248</v>
      </c>
      <c r="B130" t="s">
        <v>119</v>
      </c>
      <c r="C130">
        <v>78</v>
      </c>
      <c r="D130" t="s">
        <v>121</v>
      </c>
      <c r="E130">
        <v>13.358042038952901</v>
      </c>
      <c r="F130" t="s">
        <v>272</v>
      </c>
      <c r="G130" t="s">
        <v>273</v>
      </c>
      <c r="H130" t="s">
        <v>274</v>
      </c>
      <c r="I130" t="s">
        <v>275</v>
      </c>
      <c r="J130" t="s">
        <v>149</v>
      </c>
      <c r="K130" t="s">
        <v>276</v>
      </c>
      <c r="M130" t="s">
        <v>277</v>
      </c>
      <c r="N130" t="s">
        <v>253</v>
      </c>
      <c r="O130" t="s">
        <v>278</v>
      </c>
      <c r="P130" t="s">
        <v>279</v>
      </c>
    </row>
    <row r="131" spans="1:16">
      <c r="A131" t="s">
        <v>248</v>
      </c>
      <c r="B131" t="s">
        <v>47</v>
      </c>
      <c r="C131">
        <v>79</v>
      </c>
      <c r="D131" t="s">
        <v>121</v>
      </c>
      <c r="E131">
        <v>14.20509568511471</v>
      </c>
      <c r="F131" t="s">
        <v>272</v>
      </c>
      <c r="G131" t="s">
        <v>273</v>
      </c>
      <c r="H131" t="s">
        <v>274</v>
      </c>
      <c r="I131" t="s">
        <v>275</v>
      </c>
      <c r="J131" t="s">
        <v>149</v>
      </c>
      <c r="K131" t="s">
        <v>276</v>
      </c>
      <c r="M131" t="s">
        <v>277</v>
      </c>
      <c r="N131" t="s">
        <v>253</v>
      </c>
      <c r="O131" t="s">
        <v>278</v>
      </c>
      <c r="P131" t="s">
        <v>279</v>
      </c>
    </row>
    <row r="132" spans="1:16">
      <c r="A132" t="s">
        <v>248</v>
      </c>
      <c r="B132" t="s">
        <v>289</v>
      </c>
      <c r="C132">
        <v>80</v>
      </c>
      <c r="D132" t="s">
        <v>121</v>
      </c>
      <c r="E132">
        <v>15.411870116355679</v>
      </c>
      <c r="F132" t="s">
        <v>272</v>
      </c>
      <c r="G132" t="s">
        <v>273</v>
      </c>
      <c r="H132" t="s">
        <v>274</v>
      </c>
      <c r="I132" t="s">
        <v>275</v>
      </c>
      <c r="J132" t="s">
        <v>149</v>
      </c>
      <c r="K132" t="s">
        <v>276</v>
      </c>
      <c r="M132" t="s">
        <v>277</v>
      </c>
      <c r="N132" t="s">
        <v>253</v>
      </c>
      <c r="O132" t="s">
        <v>278</v>
      </c>
      <c r="P132" t="s">
        <v>279</v>
      </c>
    </row>
    <row r="133" spans="1:16">
      <c r="A133" t="s">
        <v>248</v>
      </c>
      <c r="B133" t="s">
        <v>49</v>
      </c>
      <c r="C133">
        <v>81</v>
      </c>
      <c r="D133" t="s">
        <v>121</v>
      </c>
      <c r="E133">
        <v>13.436879745495469</v>
      </c>
      <c r="F133" t="s">
        <v>272</v>
      </c>
      <c r="G133" t="s">
        <v>273</v>
      </c>
      <c r="H133" t="s">
        <v>274</v>
      </c>
      <c r="I133" t="s">
        <v>275</v>
      </c>
      <c r="J133" t="s">
        <v>149</v>
      </c>
      <c r="K133" t="s">
        <v>276</v>
      </c>
      <c r="M133" t="s">
        <v>277</v>
      </c>
      <c r="N133" t="s">
        <v>253</v>
      </c>
      <c r="O133" t="s">
        <v>278</v>
      </c>
      <c r="P133" t="s">
        <v>279</v>
      </c>
    </row>
    <row r="134" spans="1:16">
      <c r="A134" t="s">
        <v>248</v>
      </c>
      <c r="B134" t="s">
        <v>290</v>
      </c>
      <c r="C134">
        <v>82</v>
      </c>
      <c r="D134" t="s">
        <v>121</v>
      </c>
      <c r="E134">
        <v>15.34251887515674</v>
      </c>
      <c r="F134" t="s">
        <v>272</v>
      </c>
      <c r="G134" t="s">
        <v>273</v>
      </c>
      <c r="H134" t="s">
        <v>274</v>
      </c>
      <c r="I134" t="s">
        <v>275</v>
      </c>
      <c r="J134" t="s">
        <v>149</v>
      </c>
      <c r="K134" t="s">
        <v>276</v>
      </c>
      <c r="M134" t="s">
        <v>277</v>
      </c>
      <c r="N134" t="s">
        <v>253</v>
      </c>
      <c r="O134" t="s">
        <v>278</v>
      </c>
      <c r="P134" t="s">
        <v>279</v>
      </c>
    </row>
    <row r="135" spans="1:16">
      <c r="A135" t="s">
        <v>248</v>
      </c>
      <c r="B135" t="s">
        <v>51</v>
      </c>
      <c r="C135">
        <v>83</v>
      </c>
      <c r="D135" t="s">
        <v>121</v>
      </c>
      <c r="E135">
        <v>14.884716681016091</v>
      </c>
      <c r="F135" t="s">
        <v>272</v>
      </c>
      <c r="G135" t="s">
        <v>273</v>
      </c>
      <c r="H135" t="s">
        <v>274</v>
      </c>
      <c r="I135" t="s">
        <v>275</v>
      </c>
      <c r="J135" t="s">
        <v>149</v>
      </c>
      <c r="K135" t="s">
        <v>276</v>
      </c>
      <c r="M135" t="s">
        <v>277</v>
      </c>
      <c r="N135" t="s">
        <v>253</v>
      </c>
      <c r="O135" t="s">
        <v>278</v>
      </c>
      <c r="P135" t="s">
        <v>279</v>
      </c>
    </row>
    <row r="136" spans="1:16">
      <c r="A136" t="s">
        <v>248</v>
      </c>
      <c r="B136" t="s">
        <v>52</v>
      </c>
      <c r="C136">
        <v>84</v>
      </c>
      <c r="D136" t="s">
        <v>121</v>
      </c>
      <c r="E136">
        <v>14.852339999827681</v>
      </c>
      <c r="F136" t="s">
        <v>272</v>
      </c>
      <c r="G136" t="s">
        <v>273</v>
      </c>
      <c r="H136" t="s">
        <v>274</v>
      </c>
      <c r="I136" t="s">
        <v>275</v>
      </c>
      <c r="J136" t="s">
        <v>149</v>
      </c>
      <c r="K136" t="s">
        <v>276</v>
      </c>
      <c r="M136" t="s">
        <v>277</v>
      </c>
      <c r="N136" t="s">
        <v>253</v>
      </c>
      <c r="O136" t="s">
        <v>278</v>
      </c>
      <c r="P136" t="s">
        <v>279</v>
      </c>
    </row>
    <row r="137" spans="1:16">
      <c r="A137" t="s">
        <v>248</v>
      </c>
      <c r="B137" t="s">
        <v>291</v>
      </c>
      <c r="C137">
        <v>85</v>
      </c>
      <c r="D137" t="s">
        <v>121</v>
      </c>
      <c r="E137">
        <v>12.61108197619666</v>
      </c>
      <c r="F137" t="s">
        <v>272</v>
      </c>
      <c r="G137" t="s">
        <v>273</v>
      </c>
      <c r="H137" t="s">
        <v>274</v>
      </c>
      <c r="I137" t="s">
        <v>275</v>
      </c>
      <c r="J137" t="s">
        <v>149</v>
      </c>
      <c r="K137" t="s">
        <v>276</v>
      </c>
      <c r="M137" t="s">
        <v>277</v>
      </c>
      <c r="N137" t="s">
        <v>253</v>
      </c>
      <c r="O137" t="s">
        <v>278</v>
      </c>
      <c r="P137" t="s">
        <v>279</v>
      </c>
    </row>
    <row r="138" spans="1:16">
      <c r="A138" t="s">
        <v>248</v>
      </c>
      <c r="B138" t="s">
        <v>54</v>
      </c>
      <c r="C138">
        <v>86</v>
      </c>
      <c r="D138" t="s">
        <v>121</v>
      </c>
      <c r="E138">
        <v>13.249624907676591</v>
      </c>
      <c r="F138" t="s">
        <v>272</v>
      </c>
      <c r="G138" t="s">
        <v>273</v>
      </c>
      <c r="H138" t="s">
        <v>274</v>
      </c>
      <c r="I138" t="s">
        <v>275</v>
      </c>
      <c r="J138" t="s">
        <v>149</v>
      </c>
      <c r="K138" t="s">
        <v>276</v>
      </c>
      <c r="M138" t="s">
        <v>277</v>
      </c>
      <c r="N138" t="s">
        <v>253</v>
      </c>
      <c r="O138" t="s">
        <v>278</v>
      </c>
      <c r="P138" t="s">
        <v>279</v>
      </c>
    </row>
    <row r="139" spans="1:16">
      <c r="A139" t="s">
        <v>248</v>
      </c>
      <c r="B139" t="s">
        <v>292</v>
      </c>
      <c r="C139">
        <v>87</v>
      </c>
      <c r="D139" t="s">
        <v>121</v>
      </c>
      <c r="E139">
        <v>13.50693479903045</v>
      </c>
      <c r="F139" t="s">
        <v>272</v>
      </c>
      <c r="G139" t="s">
        <v>273</v>
      </c>
      <c r="H139" t="s">
        <v>274</v>
      </c>
      <c r="I139" t="s">
        <v>275</v>
      </c>
      <c r="J139" t="s">
        <v>149</v>
      </c>
      <c r="K139" t="s">
        <v>276</v>
      </c>
      <c r="M139" t="s">
        <v>277</v>
      </c>
      <c r="N139" t="s">
        <v>253</v>
      </c>
      <c r="O139" t="s">
        <v>278</v>
      </c>
      <c r="P139" t="s">
        <v>279</v>
      </c>
    </row>
    <row r="140" spans="1:16">
      <c r="A140" t="s">
        <v>248</v>
      </c>
      <c r="B140" t="s">
        <v>56</v>
      </c>
      <c r="C140">
        <v>88</v>
      </c>
      <c r="D140" t="s">
        <v>121</v>
      </c>
      <c r="E140">
        <v>14.645212759712191</v>
      </c>
      <c r="F140" t="s">
        <v>272</v>
      </c>
      <c r="G140" t="s">
        <v>273</v>
      </c>
      <c r="H140" t="s">
        <v>274</v>
      </c>
      <c r="I140" t="s">
        <v>275</v>
      </c>
      <c r="J140" t="s">
        <v>149</v>
      </c>
      <c r="K140" t="s">
        <v>276</v>
      </c>
      <c r="M140" t="s">
        <v>277</v>
      </c>
      <c r="N140" t="s">
        <v>253</v>
      </c>
      <c r="O140" t="s">
        <v>278</v>
      </c>
      <c r="P140" t="s">
        <v>279</v>
      </c>
    </row>
    <row r="141" spans="1:16">
      <c r="A141" t="s">
        <v>248</v>
      </c>
      <c r="B141" t="s">
        <v>57</v>
      </c>
      <c r="C141">
        <v>89</v>
      </c>
      <c r="D141" t="s">
        <v>121</v>
      </c>
      <c r="E141">
        <v>10.41735626969759</v>
      </c>
      <c r="F141" t="s">
        <v>272</v>
      </c>
      <c r="G141" t="s">
        <v>273</v>
      </c>
      <c r="H141" t="s">
        <v>274</v>
      </c>
      <c r="I141" t="s">
        <v>275</v>
      </c>
      <c r="J141" t="s">
        <v>149</v>
      </c>
      <c r="K141" t="s">
        <v>276</v>
      </c>
      <c r="M141" t="s">
        <v>277</v>
      </c>
      <c r="N141" t="s">
        <v>253</v>
      </c>
      <c r="O141" t="s">
        <v>278</v>
      </c>
      <c r="P141" t="s">
        <v>279</v>
      </c>
    </row>
    <row r="142" spans="1:16">
      <c r="A142" t="s">
        <v>248</v>
      </c>
      <c r="B142" t="s">
        <v>293</v>
      </c>
      <c r="C142">
        <v>90</v>
      </c>
      <c r="D142" t="s">
        <v>121</v>
      </c>
      <c r="E142">
        <v>11.82172985951579</v>
      </c>
      <c r="F142" t="s">
        <v>272</v>
      </c>
      <c r="G142" t="s">
        <v>273</v>
      </c>
      <c r="H142" t="s">
        <v>274</v>
      </c>
      <c r="I142" t="s">
        <v>275</v>
      </c>
      <c r="J142" t="s">
        <v>149</v>
      </c>
      <c r="K142" t="s">
        <v>276</v>
      </c>
      <c r="M142" t="s">
        <v>277</v>
      </c>
      <c r="N142" t="s">
        <v>253</v>
      </c>
      <c r="O142" t="s">
        <v>278</v>
      </c>
      <c r="P142" t="s">
        <v>279</v>
      </c>
    </row>
    <row r="143" spans="1:16">
      <c r="A143" t="s">
        <v>248</v>
      </c>
      <c r="B143" t="s">
        <v>59</v>
      </c>
      <c r="C143">
        <v>91</v>
      </c>
      <c r="D143" t="s">
        <v>121</v>
      </c>
      <c r="E143">
        <v>10.681858656395089</v>
      </c>
      <c r="F143" t="s">
        <v>272</v>
      </c>
      <c r="G143" t="s">
        <v>273</v>
      </c>
      <c r="H143" t="s">
        <v>274</v>
      </c>
      <c r="I143" t="s">
        <v>275</v>
      </c>
      <c r="J143" t="s">
        <v>149</v>
      </c>
      <c r="K143" t="s">
        <v>276</v>
      </c>
      <c r="M143" t="s">
        <v>277</v>
      </c>
      <c r="N143" t="s">
        <v>253</v>
      </c>
      <c r="O143" t="s">
        <v>278</v>
      </c>
      <c r="P143" t="s">
        <v>279</v>
      </c>
    </row>
    <row r="144" spans="1:16">
      <c r="A144" t="s">
        <v>248</v>
      </c>
      <c r="B144" t="s">
        <v>294</v>
      </c>
      <c r="C144">
        <v>92</v>
      </c>
      <c r="D144" t="s">
        <v>121</v>
      </c>
      <c r="E144">
        <v>9.3960601352280939</v>
      </c>
      <c r="F144" t="s">
        <v>272</v>
      </c>
      <c r="G144" t="s">
        <v>273</v>
      </c>
      <c r="H144" t="s">
        <v>274</v>
      </c>
      <c r="I144" t="s">
        <v>275</v>
      </c>
      <c r="J144" t="s">
        <v>149</v>
      </c>
      <c r="K144" t="s">
        <v>276</v>
      </c>
      <c r="M144" t="s">
        <v>277</v>
      </c>
      <c r="N144" t="s">
        <v>253</v>
      </c>
      <c r="O144" t="s">
        <v>278</v>
      </c>
      <c r="P144" t="s">
        <v>279</v>
      </c>
    </row>
    <row r="145" spans="1:16">
      <c r="A145" t="s">
        <v>248</v>
      </c>
      <c r="B145" t="s">
        <v>61</v>
      </c>
      <c r="C145">
        <v>93</v>
      </c>
      <c r="D145" t="s">
        <v>121</v>
      </c>
      <c r="E145">
        <v>9.8180928062899717</v>
      </c>
      <c r="F145" t="s">
        <v>272</v>
      </c>
      <c r="G145" t="s">
        <v>273</v>
      </c>
      <c r="H145" t="s">
        <v>274</v>
      </c>
      <c r="I145" t="s">
        <v>275</v>
      </c>
      <c r="J145" t="s">
        <v>149</v>
      </c>
      <c r="K145" t="s">
        <v>276</v>
      </c>
      <c r="M145" t="s">
        <v>277</v>
      </c>
      <c r="N145" t="s">
        <v>253</v>
      </c>
      <c r="O145" t="s">
        <v>278</v>
      </c>
      <c r="P145" t="s">
        <v>279</v>
      </c>
    </row>
    <row r="146" spans="1:16">
      <c r="A146" t="s">
        <v>248</v>
      </c>
      <c r="B146" t="s">
        <v>62</v>
      </c>
      <c r="C146">
        <v>94</v>
      </c>
      <c r="D146" t="s">
        <v>121</v>
      </c>
      <c r="E146">
        <v>8.5061722480512536</v>
      </c>
      <c r="F146" t="s">
        <v>272</v>
      </c>
      <c r="G146" t="s">
        <v>273</v>
      </c>
      <c r="H146" t="s">
        <v>274</v>
      </c>
      <c r="I146" t="s">
        <v>275</v>
      </c>
      <c r="J146" t="s">
        <v>149</v>
      </c>
      <c r="K146" t="s">
        <v>276</v>
      </c>
      <c r="M146" t="s">
        <v>277</v>
      </c>
      <c r="N146" t="s">
        <v>253</v>
      </c>
      <c r="O146" t="s">
        <v>278</v>
      </c>
      <c r="P146" t="s">
        <v>279</v>
      </c>
    </row>
    <row r="147" spans="1:16">
      <c r="A147" t="s">
        <v>248</v>
      </c>
      <c r="B147" t="s">
        <v>63</v>
      </c>
      <c r="C147">
        <v>95</v>
      </c>
      <c r="D147" t="s">
        <v>121</v>
      </c>
      <c r="E147">
        <v>8.5773432033645083</v>
      </c>
      <c r="F147" t="s">
        <v>272</v>
      </c>
      <c r="G147" t="s">
        <v>273</v>
      </c>
      <c r="H147" t="s">
        <v>274</v>
      </c>
      <c r="I147" t="s">
        <v>275</v>
      </c>
      <c r="J147" t="s">
        <v>149</v>
      </c>
      <c r="K147" t="s">
        <v>276</v>
      </c>
      <c r="M147" t="s">
        <v>277</v>
      </c>
      <c r="N147" t="s">
        <v>253</v>
      </c>
      <c r="O147" t="s">
        <v>278</v>
      </c>
      <c r="P147" t="s">
        <v>295</v>
      </c>
    </row>
    <row r="148" spans="1:16">
      <c r="A148" t="s">
        <v>248</v>
      </c>
      <c r="B148" t="s">
        <v>64</v>
      </c>
      <c r="C148">
        <v>96</v>
      </c>
      <c r="D148" t="s">
        <v>121</v>
      </c>
      <c r="E148">
        <v>7.6946931245555827</v>
      </c>
      <c r="F148" t="s">
        <v>272</v>
      </c>
      <c r="G148" t="s">
        <v>273</v>
      </c>
      <c r="H148" t="s">
        <v>274</v>
      </c>
      <c r="I148" t="s">
        <v>275</v>
      </c>
      <c r="J148" t="s">
        <v>149</v>
      </c>
      <c r="K148" t="s">
        <v>276</v>
      </c>
      <c r="M148" t="s">
        <v>277</v>
      </c>
      <c r="N148" t="s">
        <v>253</v>
      </c>
      <c r="O148" t="s">
        <v>278</v>
      </c>
      <c r="P148" t="s">
        <v>295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2"/>
  <sheetViews>
    <sheetView workbookViewId="0"/>
  </sheetViews>
  <sheetFormatPr defaultRowHeight="14.25"/>
  <sheetData>
    <row r="1" spans="1:15">
      <c r="A1" t="s">
        <v>233</v>
      </c>
      <c r="B1" t="s">
        <v>243</v>
      </c>
      <c r="C1" t="s">
        <v>298</v>
      </c>
      <c r="D1" t="s">
        <v>299</v>
      </c>
      <c r="E1" t="s">
        <v>300</v>
      </c>
      <c r="F1" t="s">
        <v>301</v>
      </c>
      <c r="G1" t="s">
        <v>302</v>
      </c>
      <c r="H1" t="s">
        <v>303</v>
      </c>
      <c r="I1" t="s">
        <v>304</v>
      </c>
      <c r="J1" t="s">
        <v>305</v>
      </c>
      <c r="K1" t="s">
        <v>266</v>
      </c>
      <c r="L1" t="s">
        <v>306</v>
      </c>
      <c r="M1" t="s">
        <v>174</v>
      </c>
      <c r="N1" t="s">
        <v>307</v>
      </c>
      <c r="O1" t="s">
        <v>268</v>
      </c>
    </row>
    <row r="2" spans="1:15">
      <c r="A2" t="s">
        <v>248</v>
      </c>
      <c r="B2" t="s">
        <v>252</v>
      </c>
      <c r="C2" t="s">
        <v>308</v>
      </c>
      <c r="D2" t="s">
        <v>309</v>
      </c>
      <c r="E2" t="s">
        <v>310</v>
      </c>
      <c r="F2" t="s">
        <v>311</v>
      </c>
      <c r="I2" t="s">
        <v>312</v>
      </c>
      <c r="J2" t="s">
        <v>313</v>
      </c>
      <c r="K2" t="s">
        <v>277</v>
      </c>
      <c r="L2" t="s">
        <v>314</v>
      </c>
      <c r="M2">
        <v>147</v>
      </c>
      <c r="N2">
        <v>0</v>
      </c>
      <c r="O2" t="s">
        <v>315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
  <sheetViews>
    <sheetView workbookViewId="0"/>
  </sheetViews>
  <sheetFormatPr defaultRowHeight="14.25"/>
  <sheetData>
    <row r="1" spans="1:3">
      <c r="A1" t="s">
        <v>233</v>
      </c>
      <c r="B1" t="s">
        <v>316</v>
      </c>
      <c r="C1" t="s">
        <v>317</v>
      </c>
    </row>
    <row r="2" spans="1:3">
      <c r="A2" t="s">
        <v>248</v>
      </c>
      <c r="B2" t="s">
        <v>248</v>
      </c>
      <c r="C2" t="s">
        <v>318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Claude Log</vt:lpstr>
      <vt:lpstr>VIOLA_IOWA_pp</vt:lpstr>
      <vt:lpstr>VIOLA__IOWA_mf</vt:lpstr>
      <vt:lpstr>VIOLA_IOWA_ff</vt:lpstr>
      <vt:lpstr>VIOLA__ORCH_pp</vt:lpstr>
      <vt:lpstr>VIOLA__ORCH_mf</vt:lpstr>
      <vt:lpstr>VIOLA__ORCH_ff</vt:lpstr>
      <vt:lpstr>VIOLA_Media</vt:lpstr>
      <vt:lpstr>README</vt:lpstr>
      <vt:lpstr>Zenodo_File_metadata</vt:lpstr>
      <vt:lpstr>Controlled Vocabulary</vt:lpstr>
      <vt:lpstr>WorkbookMeta</vt:lpstr>
      <vt:lpstr>Registry</vt:lpstr>
      <vt:lpstr>AcousticTable</vt:lpstr>
      <vt:lpstr>Provenance</vt:lpstr>
      <vt:lpstr>Aliases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Luís Raimundo</cp:lastModifiedBy>
  <dcterms:created xsi:type="dcterms:W3CDTF">2026-06-19T22:41:42Z</dcterms:created>
  <dcterms:modified xsi:type="dcterms:W3CDTF">2026-08-27T16:35:19Z</dcterms:modified>
</cp:coreProperties>
</file>